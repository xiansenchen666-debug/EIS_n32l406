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<sst xmlns="http://schemas.openxmlformats.org/spreadsheetml/2006/main" count="151" uniqueCount="104">
  <si>
    <t>Debug_NoBoot</t>
  </si>
  <si>
    <t>projectconfig.o</t>
  </si>
  <si>
    <t>msp_mi2c.o</t>
  </si>
  <si>
    <t>msp_can.o</t>
  </si>
  <si>
    <t>segger_rtt.o</t>
  </si>
  <si>
    <t>startup_n32l40x.o</t>
  </si>
  <si>
    <t>ssp_diagnose.o</t>
  </si>
  <si>
    <t>bsp_gd25q80.o</t>
  </si>
  <si>
    <t>main.o</t>
  </si>
  <si>
    <t>bsp_bq769xx.o</t>
  </si>
  <si>
    <t>ssp_comm_can_ryde.o</t>
  </si>
  <si>
    <t>bsp_init_list.o</t>
  </si>
  <si>
    <t>scheduler.o</t>
  </si>
  <si>
    <t>fsmkernel.o</t>
  </si>
  <si>
    <t>object.o</t>
  </si>
  <si>
    <t>msp_spi.o</t>
  </si>
  <si>
    <t>msp_classb.o</t>
  </si>
  <si>
    <t>msp_int.o</t>
  </si>
  <si>
    <t>cpuport.o</t>
  </si>
  <si>
    <t>ssp_car.o</t>
  </si>
  <si>
    <t>timer.o</t>
  </si>
  <si>
    <t>ssp_sysdata.o</t>
  </si>
  <si>
    <t>ssp_dis.o</t>
  </si>
  <si>
    <t>ssp_init_list.o</t>
  </si>
  <si>
    <t>msp_pwm.o</t>
  </si>
  <si>
    <t>bsp_key.o</t>
  </si>
  <si>
    <t>mc_w.l</t>
  </si>
  <si>
    <t>errno.o</t>
  </si>
  <si>
    <t>system_n32l40x.o</t>
  </si>
  <si>
    <t>ssp_mos.o</t>
  </si>
  <si>
    <t>msp_sys.o</t>
  </si>
  <si>
    <t>msp_it.o</t>
  </si>
  <si>
    <t>msp_adc.o</t>
  </si>
  <si>
    <t>fsmpoweron.o</t>
  </si>
  <si>
    <t>fsmdelayfault.o</t>
  </si>
  <si>
    <t>clock.o</t>
  </si>
  <si>
    <t>ssp_charge.o</t>
  </si>
  <si>
    <t>irq.o</t>
  </si>
  <si>
    <t>fsmsleep.o</t>
  </si>
  <si>
    <t>msp_init_list.o</t>
  </si>
  <si>
    <t>segger_rtt_printf.o</t>
  </si>
  <si>
    <t>msp_crc.o</t>
  </si>
  <si>
    <t>n32l40x_rtc.o</t>
  </si>
  <si>
    <t>n32l40x_tim.o</t>
  </si>
  <si>
    <t>thread.o</t>
  </si>
  <si>
    <t>n32l40x_can.o</t>
  </si>
  <si>
    <t>n32l40x_rcc.o</t>
  </si>
  <si>
    <t>lwrb.o</t>
  </si>
  <si>
    <t>msp_rtc.o</t>
  </si>
  <si>
    <t>ipc.o</t>
  </si>
  <si>
    <t>cubeversion.o</t>
  </si>
  <si>
    <t>n32l40x_gpio.o</t>
  </si>
  <si>
    <t>n32l40x_adc.o</t>
  </si>
  <si>
    <t>n32l40x_i2c.o</t>
  </si>
  <si>
    <t>kservice.o</t>
  </si>
  <si>
    <t>ssp_comm_can_depower.o</t>
  </si>
  <si>
    <t>context_rvds.o</t>
  </si>
  <si>
    <t>fsmlongwake.o</t>
  </si>
  <si>
    <t>n32l40x_dma.o</t>
  </si>
  <si>
    <t>msp_gpio.o</t>
  </si>
  <si>
    <t>fsm_list.o</t>
  </si>
  <si>
    <t>fsmpredsg.o</t>
  </si>
  <si>
    <t>fsmdsg.o</t>
  </si>
  <si>
    <t>_strtoul.o</t>
  </si>
  <si>
    <t>fsmchg.o</t>
  </si>
  <si>
    <t>n32l40x_exti.o</t>
  </si>
  <si>
    <t>ctype_o.o</t>
  </si>
  <si>
    <t>strtol.o</t>
  </si>
  <si>
    <t>misc.o</t>
  </si>
  <si>
    <t>n32l40x_spi.o</t>
  </si>
  <si>
    <t>__dczerorl2.o</t>
  </si>
  <si>
    <t>n32l40x_pwr.o</t>
  </si>
  <si>
    <t>components.o</t>
  </si>
  <si>
    <t>memseta.o</t>
  </si>
  <si>
    <t>memcpya.o</t>
  </si>
  <si>
    <t>init.o</t>
  </si>
  <si>
    <t>handlers.o</t>
  </si>
  <si>
    <t>_chval.o</t>
  </si>
  <si>
    <t>atoi.o</t>
  </si>
  <si>
    <t>strncpy.o</t>
  </si>
  <si>
    <t>n32l40x_iwdg.o</t>
  </si>
  <si>
    <t>bsp_exflash.o</t>
  </si>
  <si>
    <t>entry9a.o</t>
  </si>
  <si>
    <t>entry2.o</t>
  </si>
  <si>
    <t>msp_iwtd.o</t>
  </si>
  <si>
    <t>entry5.o</t>
  </si>
  <si>
    <t>idle.o</t>
  </si>
  <si>
    <t>ssp_loopflash.o</t>
  </si>
  <si>
    <t>msp_uart.o</t>
  </si>
  <si>
    <t>msp_tim.o</t>
  </si>
  <si>
    <t>msp_lpuart.o</t>
  </si>
  <si>
    <t>msp_flash.o</t>
  </si>
  <si>
    <t>bsp_oz9358.o</t>
  </si>
  <si>
    <t>bsp_ip5356.o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</si>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</sst>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ram_percent!$A$3:$A$96</c:f>
              <c:strCache>
                <c:ptCount val="94"/>
                <c:pt idx="0">
                  <c:v>projectconfig.o</c:v>
                </c:pt>
                <c:pt idx="1">
                  <c:v>msp_mi2c.o</c:v>
                </c:pt>
                <c:pt idx="2">
                  <c:v>msp_can.o</c:v>
                </c:pt>
                <c:pt idx="3">
                  <c:v>segger_rtt.o</c:v>
                </c:pt>
                <c:pt idx="4">
                  <c:v>startup_n32l40x.o</c:v>
                </c:pt>
                <c:pt idx="5">
                  <c:v>ssp_diagnose.o</c:v>
                </c:pt>
                <c:pt idx="6">
                  <c:v>bsp_gd25q80.o</c:v>
                </c:pt>
                <c:pt idx="7">
                  <c:v>main.o</c:v>
                </c:pt>
                <c:pt idx="8">
                  <c:v>bsp_bq769xx.o</c:v>
                </c:pt>
                <c:pt idx="9">
                  <c:v>ssp_comm_can_ryde.o</c:v>
                </c:pt>
                <c:pt idx="10">
                  <c:v>bsp_init_list.o</c:v>
                </c:pt>
                <c:pt idx="11">
                  <c:v>scheduler.o</c:v>
                </c:pt>
                <c:pt idx="12">
                  <c:v>fsmkernel.o</c:v>
                </c:pt>
                <c:pt idx="13">
                  <c:v>object.o</c:v>
                </c:pt>
                <c:pt idx="14">
                  <c:v>msp_spi.o</c:v>
                </c:pt>
                <c:pt idx="15">
                  <c:v>msp_classb.o</c:v>
                </c:pt>
                <c:pt idx="16">
                  <c:v>msp_int.o</c:v>
                </c:pt>
                <c:pt idx="17">
                  <c:v>cpuport.o</c:v>
                </c:pt>
                <c:pt idx="18">
                  <c:v>ssp_car.o</c:v>
                </c:pt>
                <c:pt idx="19">
                  <c:v>timer.o</c:v>
                </c:pt>
                <c:pt idx="20">
                  <c:v>ssp_sysdata.o</c:v>
                </c:pt>
                <c:pt idx="21">
                  <c:v>ssp_dis.o</c:v>
                </c:pt>
                <c:pt idx="22">
                  <c:v>ssp_init_list.o</c:v>
                </c:pt>
                <c:pt idx="23">
                  <c:v>msp_pwm.o</c:v>
                </c:pt>
                <c:pt idx="24">
                  <c:v>bsp_key.o</c:v>
                </c:pt>
                <c:pt idx="25">
                  <c:v>mc_w.l</c:v>
                </c:pt>
                <c:pt idx="26">
                  <c:v>errno.o</c:v>
                </c:pt>
                <c:pt idx="27">
                  <c:v>system_n32l40x.o</c:v>
                </c:pt>
                <c:pt idx="28">
                  <c:v>ssp_mos.o</c:v>
                </c:pt>
                <c:pt idx="29">
                  <c:v>msp_sys.o</c:v>
                </c:pt>
                <c:pt idx="30">
                  <c:v>msp_it.o</c:v>
                </c:pt>
                <c:pt idx="31">
                  <c:v>msp_adc.o</c:v>
                </c:pt>
                <c:pt idx="32">
                  <c:v>fsmpoweron.o</c:v>
                </c:pt>
                <c:pt idx="33">
                  <c:v>fsmdelayfault.o</c:v>
                </c:pt>
                <c:pt idx="34">
                  <c:v>clock.o</c:v>
                </c:pt>
                <c:pt idx="35">
                  <c:v>ssp_charge.o</c:v>
                </c:pt>
                <c:pt idx="36">
                  <c:v>irq.o</c:v>
                </c:pt>
                <c:pt idx="37">
                  <c:v>fsmsleep.o</c:v>
                </c:pt>
                <c:pt idx="93">
                  <c:v>Totals</c:v>
                </c:pt>
              </c:strCache>
            </c:strRef>
          </c:cat>
          <c:val>
            <c:numRef>
              <c:f>ram_percent!$B$3:$B$96</c:f>
              <c:numCache>
                <c:formatCode>General</c:formatCode>
                <c:ptCount val="94"/>
                <c:pt idx="0">
                  <c:v>35.86342239379883</c:v>
                </c:pt>
                <c:pt idx="1">
                  <c:v>14.39449787139893</c:v>
                </c:pt>
                <c:pt idx="2">
                  <c:v>13.51019382476807</c:v>
                </c:pt>
                <c:pt idx="3">
                  <c:v>8.54826831817627</c:v>
                </c:pt>
                <c:pt idx="4">
                  <c:v>6.288381099700928</c:v>
                </c:pt>
                <c:pt idx="5">
                  <c:v>5.08474588394165</c:v>
                </c:pt>
                <c:pt idx="6">
                  <c:v>3.205600500106812</c:v>
                </c:pt>
                <c:pt idx="7">
                  <c:v>2.665192842483521</c:v>
                </c:pt>
                <c:pt idx="8">
                  <c:v>2.07565712928772</c:v>
                </c:pt>
                <c:pt idx="9">
                  <c:v>2.02652907371521</c:v>
                </c:pt>
                <c:pt idx="10">
                  <c:v>1.473839402198792</c:v>
                </c:pt>
                <c:pt idx="11">
                  <c:v>1.019405603408814</c:v>
                </c:pt>
                <c:pt idx="12">
                  <c:v>0.884303629398346</c:v>
                </c:pt>
                <c:pt idx="13">
                  <c:v>0.5895357131958008</c:v>
                </c:pt>
                <c:pt idx="14">
                  <c:v>0.454433798789978</c:v>
                </c:pt>
                <c:pt idx="15">
                  <c:v>0.2333578914403915</c:v>
                </c:pt>
                <c:pt idx="16">
                  <c:v>0.196511909365654</c:v>
                </c:pt>
                <c:pt idx="17">
                  <c:v>0.196511909365654</c:v>
                </c:pt>
                <c:pt idx="18">
                  <c:v>0.1719479262828827</c:v>
                </c:pt>
                <c:pt idx="19">
                  <c:v>0.1473839282989502</c:v>
                </c:pt>
                <c:pt idx="20">
                  <c:v>0.1228199452161789</c:v>
                </c:pt>
                <c:pt idx="21">
                  <c:v>0.08597396314144135</c:v>
                </c:pt>
                <c:pt idx="22">
                  <c:v>0.0736919641494751</c:v>
                </c:pt>
                <c:pt idx="23">
                  <c:v>0.0736919641494751</c:v>
                </c:pt>
                <c:pt idx="24">
                  <c:v>0.06140997260808945</c:v>
                </c:pt>
                <c:pt idx="25">
                  <c:v>0.0491279773414135</c:v>
                </c:pt>
                <c:pt idx="26">
                  <c:v>0.0491279773414135</c:v>
                </c:pt>
                <c:pt idx="27">
                  <c:v>0.0491279773414135</c:v>
                </c:pt>
                <c:pt idx="28">
                  <c:v>0.0491279773414135</c:v>
                </c:pt>
                <c:pt idx="29">
                  <c:v>0.0491279773414135</c:v>
                </c:pt>
                <c:pt idx="30">
                  <c:v>0.0491279773414135</c:v>
                </c:pt>
                <c:pt idx="31">
                  <c:v>0.0491279773414135</c:v>
                </c:pt>
                <c:pt idx="32">
                  <c:v>0.0491279773414135</c:v>
                </c:pt>
                <c:pt idx="33">
                  <c:v>0.0491279773414135</c:v>
                </c:pt>
                <c:pt idx="34">
                  <c:v>0.0491279773414135</c:v>
                </c:pt>
                <c:pt idx="35">
                  <c:v>0.03684598207473755</c:v>
                </c:pt>
                <c:pt idx="36">
                  <c:v>0.01228199433535337</c:v>
                </c:pt>
                <c:pt idx="37">
                  <c:v>0.01228199433535337</c:v>
                </c:pt>
                <c:pt idx="9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flash_percent!$A$3:$A$96</c:f>
              <c:strCache>
                <c:ptCount val="94"/>
                <c:pt idx="0">
                  <c:v>msp_mi2c.o</c:v>
                </c:pt>
                <c:pt idx="1">
                  <c:v>ssp_init_list.o</c:v>
                </c:pt>
                <c:pt idx="2">
                  <c:v>bsp_bq769xx.o</c:v>
                </c:pt>
                <c:pt idx="3">
                  <c:v>ssp_comm_can_ryde.o</c:v>
                </c:pt>
                <c:pt idx="4">
                  <c:v>msp_can.o</c:v>
                </c:pt>
                <c:pt idx="5">
                  <c:v>ssp_diagnose.o</c:v>
                </c:pt>
                <c:pt idx="6">
                  <c:v>msp_init_list.o</c:v>
                </c:pt>
                <c:pt idx="7">
                  <c:v>segger_rtt_printf.o</c:v>
                </c:pt>
                <c:pt idx="8">
                  <c:v>msp_crc.o</c:v>
                </c:pt>
                <c:pt idx="9">
                  <c:v>n32l40x_rtc.o</c:v>
                </c:pt>
                <c:pt idx="10">
                  <c:v>msp_pwm.o</c:v>
                </c:pt>
                <c:pt idx="11">
                  <c:v>n32l40x_tim.o</c:v>
                </c:pt>
                <c:pt idx="12">
                  <c:v>msp_spi.o</c:v>
                </c:pt>
                <c:pt idx="13">
                  <c:v>thread.o</c:v>
                </c:pt>
                <c:pt idx="14">
                  <c:v>ssp_dis.o</c:v>
                </c:pt>
                <c:pt idx="15">
                  <c:v>ssp_sysdata.o</c:v>
                </c:pt>
                <c:pt idx="16">
                  <c:v>n32l40x_can.o</c:v>
                </c:pt>
                <c:pt idx="17">
                  <c:v>mc_w.l</c:v>
                </c:pt>
                <c:pt idx="18">
                  <c:v>n32l40x_rcc.o</c:v>
                </c:pt>
                <c:pt idx="19">
                  <c:v>fsmkernel.o</c:v>
                </c:pt>
                <c:pt idx="20">
                  <c:v>system_n32l40x.o</c:v>
                </c:pt>
                <c:pt idx="21">
                  <c:v>lwrb.o</c:v>
                </c:pt>
                <c:pt idx="22">
                  <c:v>cpuport.o</c:v>
                </c:pt>
                <c:pt idx="23">
                  <c:v>msp_rtc.o</c:v>
                </c:pt>
                <c:pt idx="24">
                  <c:v>timer.o</c:v>
                </c:pt>
                <c:pt idx="25">
                  <c:v>msp_int.o</c:v>
                </c:pt>
                <c:pt idx="26">
                  <c:v>scheduler.o</c:v>
                </c:pt>
                <c:pt idx="27">
                  <c:v>ipc.o</c:v>
                </c:pt>
                <c:pt idx="28">
                  <c:v>msp_adc.o</c:v>
                </c:pt>
                <c:pt idx="29">
                  <c:v>cubeversion.o</c:v>
                </c:pt>
                <c:pt idx="30">
                  <c:v>n32l40x_gpio.o</c:v>
                </c:pt>
                <c:pt idx="31">
                  <c:v>main.o</c:v>
                </c:pt>
                <c:pt idx="32">
                  <c:v>segger_rtt.o</c:v>
                </c:pt>
                <c:pt idx="33">
                  <c:v>ssp_car.o</c:v>
                </c:pt>
                <c:pt idx="34">
                  <c:v>n32l40x_adc.o</c:v>
                </c:pt>
                <c:pt idx="35">
                  <c:v>projectconfig.o</c:v>
                </c:pt>
                <c:pt idx="36">
                  <c:v>n32l40x_i2c.o</c:v>
                </c:pt>
                <c:pt idx="37">
                  <c:v>fsmsleep.o</c:v>
                </c:pt>
                <c:pt idx="38">
                  <c:v>ssp_mos.o</c:v>
                </c:pt>
                <c:pt idx="39">
                  <c:v>msp_sys.o</c:v>
                </c:pt>
                <c:pt idx="40">
                  <c:v>startup_n32l40x.o</c:v>
                </c:pt>
                <c:pt idx="41">
                  <c:v>fsmpoweron.o</c:v>
                </c:pt>
                <c:pt idx="42">
                  <c:v>bsp_key.o</c:v>
                </c:pt>
                <c:pt idx="43">
                  <c:v>kservice.o</c:v>
                </c:pt>
                <c:pt idx="44">
                  <c:v>ssp_comm_can_depower.o</c:v>
                </c:pt>
                <c:pt idx="45">
                  <c:v>context_rvds.o</c:v>
                </c:pt>
                <c:pt idx="46">
                  <c:v>fsmlongwake.o</c:v>
                </c:pt>
                <c:pt idx="47">
                  <c:v>n32l40x_dma.o</c:v>
                </c:pt>
                <c:pt idx="48">
                  <c:v>msp_gpio.o</c:v>
                </c:pt>
                <c:pt idx="49">
                  <c:v>msp_it.o</c:v>
                </c:pt>
                <c:pt idx="50">
                  <c:v>fsmdelayfault.o</c:v>
                </c:pt>
                <c:pt idx="51">
                  <c:v>fsm_list.o</c:v>
                </c:pt>
                <c:pt idx="52">
                  <c:v>object.o</c:v>
                </c:pt>
                <c:pt idx="53">
                  <c:v>bsp_gd25q80.o</c:v>
                </c:pt>
                <c:pt idx="54">
                  <c:v>fsmpredsg.o</c:v>
                </c:pt>
                <c:pt idx="55">
                  <c:v>ssp_charge.o</c:v>
                </c:pt>
                <c:pt idx="56">
                  <c:v>fsmdsg.o</c:v>
                </c:pt>
                <c:pt idx="57">
                  <c:v>_strtoul.o</c:v>
                </c:pt>
                <c:pt idx="58">
                  <c:v>fsmchg.o</c:v>
                </c:pt>
                <c:pt idx="59">
                  <c:v>n32l40x_exti.o</c:v>
                </c:pt>
                <c:pt idx="60">
                  <c:v>ctype_o.o</c:v>
                </c:pt>
                <c:pt idx="61">
                  <c:v>bsp_init_list.o</c:v>
                </c:pt>
                <c:pt idx="62">
                  <c:v>clock.o</c:v>
                </c:pt>
                <c:pt idx="63">
                  <c:v>strtol.o</c:v>
                </c:pt>
                <c:pt idx="64">
                  <c:v>misc.o</c:v>
                </c:pt>
                <c:pt idx="65">
                  <c:v>n32l40x_spi.o</c:v>
                </c:pt>
                <c:pt idx="66">
                  <c:v>__dczerorl2.o</c:v>
                </c:pt>
                <c:pt idx="67">
                  <c:v>n32l40x_pwr.o</c:v>
                </c:pt>
                <c:pt idx="68">
                  <c:v>irq.o</c:v>
                </c:pt>
                <c:pt idx="69">
                  <c:v>components.o</c:v>
                </c:pt>
                <c:pt idx="70">
                  <c:v>memseta.o</c:v>
                </c:pt>
                <c:pt idx="71">
                  <c:v>memcpya.o</c:v>
                </c:pt>
                <c:pt idx="72">
                  <c:v>init.o</c:v>
                </c:pt>
                <c:pt idx="73">
                  <c:v>handlers.o</c:v>
                </c:pt>
                <c:pt idx="74">
                  <c:v>_chval.o</c:v>
                </c:pt>
                <c:pt idx="75">
                  <c:v>atoi.o</c:v>
                </c:pt>
                <c:pt idx="76">
                  <c:v>strncpy.o</c:v>
                </c:pt>
                <c:pt idx="77">
                  <c:v>n32l40x_iwdg.o</c:v>
                </c:pt>
                <c:pt idx="78">
                  <c:v>msp_classb.o</c:v>
                </c:pt>
                <c:pt idx="79">
                  <c:v>bsp_exflash.o</c:v>
                </c:pt>
                <c:pt idx="80">
                  <c:v>errno.o</c:v>
                </c:pt>
                <c:pt idx="81">
                  <c:v>entry9a.o</c:v>
                </c:pt>
                <c:pt idx="82">
                  <c:v>entry2.o</c:v>
                </c:pt>
                <c:pt idx="83">
                  <c:v>msp_iwtd.o</c:v>
                </c:pt>
                <c:pt idx="84">
                  <c:v>entry5.o</c:v>
                </c:pt>
                <c:pt idx="85">
                  <c:v>idle.o</c:v>
                </c:pt>
                <c:pt idx="86">
                  <c:v>ssp_loopflash.o</c:v>
                </c:pt>
                <c:pt idx="87">
                  <c:v>msp_uart.o</c:v>
                </c:pt>
                <c:pt idx="88">
                  <c:v>msp_tim.o</c:v>
                </c:pt>
                <c:pt idx="89">
                  <c:v>msp_lpuart.o</c:v>
                </c:pt>
                <c:pt idx="90">
                  <c:v>msp_flash.o</c:v>
                </c:pt>
                <c:pt idx="91">
                  <c:v>bsp_oz9358.o</c:v>
                </c:pt>
                <c:pt idx="92">
                  <c:v>bsp_ip5356.o</c:v>
                </c:pt>
                <c:pt idx="93">
                  <c:v>Totals</c:v>
                </c:pt>
              </c:strCache>
            </c:strRef>
          </c:cat>
          <c:val>
            <c:numRef>
              <c:f>flash_percent!$B$3:$B$96</c:f>
              <c:numCache>
                <c:formatCode>General</c:formatCode>
                <c:ptCount val="94"/>
                <c:pt idx="0">
                  <c:v>10.11361026763916</c:v>
                </c:pt>
                <c:pt idx="1">
                  <c:v>6.668212413787842</c:v>
                </c:pt>
                <c:pt idx="2">
                  <c:v>4.384418964385986</c:v>
                </c:pt>
                <c:pt idx="3">
                  <c:v>3.825643301010132</c:v>
                </c:pt>
                <c:pt idx="4">
                  <c:v>3.505680561065674</c:v>
                </c:pt>
                <c:pt idx="5">
                  <c:v>2.652446031570435</c:v>
                </c:pt>
                <c:pt idx="6">
                  <c:v>2.617667436599731</c:v>
                </c:pt>
                <c:pt idx="7">
                  <c:v>2.541154623031616</c:v>
                </c:pt>
                <c:pt idx="8">
                  <c:v>2.413633108139038</c:v>
                </c:pt>
                <c:pt idx="9">
                  <c:v>2.38349175453186</c:v>
                </c:pt>
                <c:pt idx="10">
                  <c:v>2.371898889541626</c:v>
                </c:pt>
                <c:pt idx="11">
                  <c:v>2.258288860321045</c:v>
                </c:pt>
                <c:pt idx="12">
                  <c:v>2.014838933944702</c:v>
                </c:pt>
                <c:pt idx="13">
                  <c:v>1.998608827590942</c:v>
                </c:pt>
                <c:pt idx="14">
                  <c:v>1.973104596138001</c:v>
                </c:pt>
                <c:pt idx="15">
                  <c:v>1.961511731147766</c:v>
                </c:pt>
                <c:pt idx="16">
                  <c:v>1.942963123321533</c:v>
                </c:pt>
                <c:pt idx="17">
                  <c:v>1.727335929870606</c:v>
                </c:pt>
                <c:pt idx="18">
                  <c:v>1.669371724128723</c:v>
                </c:pt>
                <c:pt idx="19">
                  <c:v>1.657778859138489</c:v>
                </c:pt>
                <c:pt idx="20">
                  <c:v>1.641548752784729</c:v>
                </c:pt>
                <c:pt idx="21">
                  <c:v>1.641548752784729</c:v>
                </c:pt>
                <c:pt idx="22">
                  <c:v>1.546487331390381</c:v>
                </c:pt>
                <c:pt idx="23">
                  <c:v>1.418965935707092</c:v>
                </c:pt>
                <c:pt idx="24">
                  <c:v>1.395780205726624</c:v>
                </c:pt>
                <c:pt idx="25">
                  <c:v>1.384187340736389</c:v>
                </c:pt>
                <c:pt idx="26">
                  <c:v>1.27985155582428</c:v>
                </c:pt>
                <c:pt idx="27">
                  <c:v>1.242754459381104</c:v>
                </c:pt>
                <c:pt idx="28">
                  <c:v>1.203338742256165</c:v>
                </c:pt>
                <c:pt idx="29">
                  <c:v>1.189427256584168</c:v>
                </c:pt>
                <c:pt idx="30">
                  <c:v>1.187108755111694</c:v>
                </c:pt>
                <c:pt idx="31">
                  <c:v>1.122188687324524</c:v>
                </c:pt>
                <c:pt idx="32">
                  <c:v>1.115233063697815</c:v>
                </c:pt>
                <c:pt idx="33">
                  <c:v>1.066542983055115</c:v>
                </c:pt>
                <c:pt idx="34">
                  <c:v>1.047994494438171</c:v>
                </c:pt>
                <c:pt idx="35">
                  <c:v>1.010897278785706</c:v>
                </c:pt>
                <c:pt idx="36">
                  <c:v>1.010897278785706</c:v>
                </c:pt>
                <c:pt idx="37">
                  <c:v>0.9784373044967651</c:v>
                </c:pt>
                <c:pt idx="38">
                  <c:v>0.9413401484489441</c:v>
                </c:pt>
                <c:pt idx="39">
                  <c:v>0.9204729795455933</c:v>
                </c:pt>
                <c:pt idx="40">
                  <c:v>0.8439601063728333</c:v>
                </c:pt>
                <c:pt idx="41">
                  <c:v>0.8439601063728333</c:v>
                </c:pt>
                <c:pt idx="42">
                  <c:v>0.8416415452957153</c:v>
                </c:pt>
                <c:pt idx="43">
                  <c:v>0.8207743763923645</c:v>
                </c:pt>
                <c:pt idx="44">
                  <c:v>0.8091815710067749</c:v>
                </c:pt>
                <c:pt idx="45">
                  <c:v>0.714120090007782</c:v>
                </c:pt>
                <c:pt idx="46">
                  <c:v>0.6677486896514893</c:v>
                </c:pt>
                <c:pt idx="47">
                  <c:v>0.653837263584137</c:v>
                </c:pt>
                <c:pt idx="48">
                  <c:v>0.6329700946807861</c:v>
                </c:pt>
                <c:pt idx="49">
                  <c:v>0.6283329725265503</c:v>
                </c:pt>
                <c:pt idx="50">
                  <c:v>0.6074658036231995</c:v>
                </c:pt>
                <c:pt idx="51">
                  <c:v>0.5842800736427307</c:v>
                </c:pt>
                <c:pt idx="52">
                  <c:v>0.537908673286438</c:v>
                </c:pt>
                <c:pt idx="53">
                  <c:v>0.5239972472190857</c:v>
                </c:pt>
                <c:pt idx="54">
                  <c:v>0.4637143611907959</c:v>
                </c:pt>
                <c:pt idx="55">
                  <c:v>0.4219800531864166</c:v>
                </c:pt>
                <c:pt idx="56">
                  <c:v>0.3709714710712433</c:v>
                </c:pt>
                <c:pt idx="57">
                  <c:v>0.3663343489170075</c:v>
                </c:pt>
                <c:pt idx="58">
                  <c:v>0.3616971969604492</c:v>
                </c:pt>
                <c:pt idx="59">
                  <c:v>0.3292371928691864</c:v>
                </c:pt>
                <c:pt idx="60">
                  <c:v>0.3269186317920685</c:v>
                </c:pt>
                <c:pt idx="61">
                  <c:v>0.3060514628887177</c:v>
                </c:pt>
                <c:pt idx="62">
                  <c:v>0.268954336643219</c:v>
                </c:pt>
                <c:pt idx="63">
                  <c:v>0.2596800327301025</c:v>
                </c:pt>
                <c:pt idx="64">
                  <c:v>0.2225828915834427</c:v>
                </c:pt>
                <c:pt idx="65">
                  <c:v>0.2086714655160904</c:v>
                </c:pt>
                <c:pt idx="66">
                  <c:v>0.1993971765041351</c:v>
                </c:pt>
                <c:pt idx="67">
                  <c:v>0.1947600245475769</c:v>
                </c:pt>
                <c:pt idx="68">
                  <c:v>0.1298400163650513</c:v>
                </c:pt>
                <c:pt idx="69">
                  <c:v>0.1205657348036766</c:v>
                </c:pt>
                <c:pt idx="70">
                  <c:v>0.08346858620643616</c:v>
                </c:pt>
                <c:pt idx="71">
                  <c:v>0.08346858620643616</c:v>
                </c:pt>
                <c:pt idx="72">
                  <c:v>0.08346858620643616</c:v>
                </c:pt>
                <c:pt idx="73">
                  <c:v>0.06955715268850327</c:v>
                </c:pt>
                <c:pt idx="74">
                  <c:v>0.06492000818252564</c:v>
                </c:pt>
                <c:pt idx="75">
                  <c:v>0.0602828674018383</c:v>
                </c:pt>
                <c:pt idx="76">
                  <c:v>0.05564572289586067</c:v>
                </c:pt>
                <c:pt idx="77">
                  <c:v>0.03709714859724045</c:v>
                </c:pt>
                <c:pt idx="78">
                  <c:v>0.03709714859724045</c:v>
                </c:pt>
                <c:pt idx="79">
                  <c:v>0.03014143370091915</c:v>
                </c:pt>
                <c:pt idx="80">
                  <c:v>0.02782286144793034</c:v>
                </c:pt>
                <c:pt idx="81">
                  <c:v>0.01854857429862022</c:v>
                </c:pt>
                <c:pt idx="82">
                  <c:v>0.01854857429862022</c:v>
                </c:pt>
                <c:pt idx="83">
                  <c:v>0.01159285847097635</c:v>
                </c:pt>
                <c:pt idx="84">
                  <c:v>0.009274287149310112</c:v>
                </c:pt>
                <c:pt idx="85">
                  <c:v>0.004637143574655056</c:v>
                </c:pt>
                <c:pt idx="86">
                  <c:v>0.002318571787327528</c:v>
                </c:pt>
                <c:pt idx="87">
                  <c:v>0.002318571787327528</c:v>
                </c:pt>
                <c:pt idx="88">
                  <c:v>0.002318571787327528</c:v>
                </c:pt>
                <c:pt idx="89">
                  <c:v>0.002318571787327528</c:v>
                </c:pt>
                <c:pt idx="90">
                  <c:v>0.002318571787327528</c:v>
                </c:pt>
                <c:pt idx="91">
                  <c:v>0.002318571787327528</c:v>
                </c:pt>
                <c:pt idx="92">
                  <c:v>0.002318571787327528</c:v>
                </c:pt>
                <c:pt idx="93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96" totalsRowCount="1">
  <autoFilter ref="A2:H95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96" totalsRowCount="1">
  <autoFilter ref="A2:H95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94</v>
      </c>
      <c r="B2" t="s">
        <v>96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 t="s">
        <v>102</v>
      </c>
    </row>
    <row r="3" spans="1:8">
      <c r="A3" s="1" t="s">
        <v>1</v>
      </c>
      <c r="B3" s="2">
        <v>35.86342239379883</v>
      </c>
      <c r="C3" s="1">
        <v>2920</v>
      </c>
      <c r="D3" s="1">
        <v>436</v>
      </c>
      <c r="E3" s="1">
        <v>350</v>
      </c>
      <c r="F3" s="1">
        <v>86</v>
      </c>
      <c r="G3" s="1">
        <v>0</v>
      </c>
      <c r="H3" s="1">
        <v>2920</v>
      </c>
    </row>
    <row r="4" spans="1:8">
      <c r="A4" s="1" t="s">
        <v>2</v>
      </c>
      <c r="B4" s="2">
        <v>14.39449787139893</v>
      </c>
      <c r="C4" s="1">
        <v>1172</v>
      </c>
      <c r="D4" s="1">
        <v>4362</v>
      </c>
      <c r="E4" s="1">
        <v>4198</v>
      </c>
      <c r="F4" s="1">
        <v>164</v>
      </c>
      <c r="G4" s="1">
        <v>0</v>
      </c>
      <c r="H4" s="1">
        <v>1172</v>
      </c>
    </row>
    <row r="5" spans="1:8">
      <c r="A5" s="1" t="s">
        <v>3</v>
      </c>
      <c r="B5" s="2">
        <v>13.51019382476807</v>
      </c>
      <c r="C5" s="1">
        <v>1100</v>
      </c>
      <c r="D5" s="1">
        <v>1512</v>
      </c>
      <c r="E5" s="1">
        <v>1502</v>
      </c>
      <c r="F5" s="1">
        <v>10</v>
      </c>
      <c r="G5" s="1">
        <v>0</v>
      </c>
      <c r="H5" s="1">
        <v>1100</v>
      </c>
    </row>
    <row r="6" spans="1:8">
      <c r="A6" s="1" t="s">
        <v>4</v>
      </c>
      <c r="B6" s="2">
        <v>8.54826831817627</v>
      </c>
      <c r="C6" s="1">
        <v>696</v>
      </c>
      <c r="D6" s="1">
        <v>481</v>
      </c>
      <c r="E6" s="1">
        <v>472</v>
      </c>
      <c r="F6" s="1">
        <v>9</v>
      </c>
      <c r="G6" s="1">
        <v>0</v>
      </c>
      <c r="H6" s="1">
        <v>696</v>
      </c>
    </row>
    <row r="7" spans="1:8">
      <c r="A7" s="1" t="s">
        <v>5</v>
      </c>
      <c r="B7" s="2">
        <v>6.288381099700928</v>
      </c>
      <c r="C7" s="1">
        <v>512</v>
      </c>
      <c r="D7" s="1">
        <v>364</v>
      </c>
      <c r="E7" s="1">
        <v>36</v>
      </c>
      <c r="F7" s="1">
        <v>328</v>
      </c>
      <c r="G7" s="1">
        <v>0</v>
      </c>
      <c r="H7" s="1">
        <v>512</v>
      </c>
    </row>
    <row r="8" spans="1:8">
      <c r="A8" s="1" t="s">
        <v>6</v>
      </c>
      <c r="B8" s="2">
        <v>5.08474588394165</v>
      </c>
      <c r="C8" s="1">
        <v>414</v>
      </c>
      <c r="D8" s="1">
        <v>1144</v>
      </c>
      <c r="E8" s="1">
        <v>1130</v>
      </c>
      <c r="F8" s="1">
        <v>14</v>
      </c>
      <c r="G8" s="1">
        <v>0</v>
      </c>
      <c r="H8" s="1">
        <v>414</v>
      </c>
    </row>
    <row r="9" spans="1:8">
      <c r="A9" s="1" t="s">
        <v>7</v>
      </c>
      <c r="B9" s="2">
        <v>3.205600500106812</v>
      </c>
      <c r="C9" s="1">
        <v>261</v>
      </c>
      <c r="D9" s="1">
        <v>226</v>
      </c>
      <c r="E9" s="1">
        <v>226</v>
      </c>
      <c r="F9" s="1">
        <v>0</v>
      </c>
      <c r="G9" s="1">
        <v>0</v>
      </c>
      <c r="H9" s="1">
        <v>261</v>
      </c>
    </row>
    <row r="10" spans="1:8">
      <c r="A10" s="1" t="s">
        <v>8</v>
      </c>
      <c r="B10" s="2">
        <v>2.665192842483521</v>
      </c>
      <c r="C10" s="1">
        <v>217</v>
      </c>
      <c r="D10" s="1">
        <v>484</v>
      </c>
      <c r="E10" s="1">
        <v>216</v>
      </c>
      <c r="F10" s="1">
        <v>64</v>
      </c>
      <c r="G10" s="1">
        <v>204</v>
      </c>
      <c r="H10" s="1">
        <v>13</v>
      </c>
    </row>
    <row r="11" spans="1:8">
      <c r="A11" s="1" t="s">
        <v>9</v>
      </c>
      <c r="B11" s="2">
        <v>2.07565712928772</v>
      </c>
      <c r="C11" s="1">
        <v>169</v>
      </c>
      <c r="D11" s="1">
        <v>1891</v>
      </c>
      <c r="E11" s="1">
        <v>1812</v>
      </c>
      <c r="F11" s="1">
        <v>1</v>
      </c>
      <c r="G11" s="1">
        <v>78</v>
      </c>
      <c r="H11" s="1">
        <v>91</v>
      </c>
    </row>
    <row r="12" spans="1:8">
      <c r="A12" s="1" t="s">
        <v>10</v>
      </c>
      <c r="B12" s="2">
        <v>2.02652907371521</v>
      </c>
      <c r="C12" s="1">
        <v>165</v>
      </c>
      <c r="D12" s="1">
        <v>1650</v>
      </c>
      <c r="E12" s="1">
        <v>1230</v>
      </c>
      <c r="F12" s="1">
        <v>406</v>
      </c>
      <c r="G12" s="1">
        <v>14</v>
      </c>
      <c r="H12" s="1">
        <v>151</v>
      </c>
    </row>
    <row r="13" spans="1:8">
      <c r="A13" s="1" t="s">
        <v>11</v>
      </c>
      <c r="B13" s="2">
        <v>1.473839402198792</v>
      </c>
      <c r="C13" s="1">
        <v>120</v>
      </c>
      <c r="D13" s="1">
        <v>132</v>
      </c>
      <c r="E13" s="1">
        <v>0</v>
      </c>
      <c r="F13" s="1">
        <v>12</v>
      </c>
      <c r="G13" s="1">
        <v>120</v>
      </c>
      <c r="H13" s="1">
        <v>0</v>
      </c>
    </row>
    <row r="14" spans="1:8">
      <c r="A14" s="1" t="s">
        <v>12</v>
      </c>
      <c r="B14" s="2">
        <v>1.019405603408814</v>
      </c>
      <c r="C14" s="1">
        <v>83</v>
      </c>
      <c r="D14" s="1">
        <v>552</v>
      </c>
      <c r="E14" s="1">
        <v>552</v>
      </c>
      <c r="F14" s="1">
        <v>0</v>
      </c>
      <c r="G14" s="1">
        <v>0</v>
      </c>
      <c r="H14" s="1">
        <v>83</v>
      </c>
    </row>
    <row r="15" spans="1:8">
      <c r="A15" s="1" t="s">
        <v>13</v>
      </c>
      <c r="B15" s="2">
        <v>0.884303629398346</v>
      </c>
      <c r="C15" s="1">
        <v>72</v>
      </c>
      <c r="D15" s="1">
        <v>715</v>
      </c>
      <c r="E15" s="1">
        <v>714</v>
      </c>
      <c r="F15" s="1">
        <v>1</v>
      </c>
      <c r="G15" s="1">
        <v>0</v>
      </c>
      <c r="H15" s="1">
        <v>72</v>
      </c>
    </row>
    <row r="16" spans="1:8">
      <c r="A16" s="1" t="s">
        <v>14</v>
      </c>
      <c r="B16" s="2">
        <v>0.5895357131958008</v>
      </c>
      <c r="C16" s="1">
        <v>48</v>
      </c>
      <c r="D16" s="1">
        <v>232</v>
      </c>
      <c r="E16" s="1">
        <v>184</v>
      </c>
      <c r="F16" s="1">
        <v>0</v>
      </c>
      <c r="G16" s="1">
        <v>48</v>
      </c>
      <c r="H16" s="1">
        <v>0</v>
      </c>
    </row>
    <row r="17" spans="1:8">
      <c r="A17" s="1" t="s">
        <v>15</v>
      </c>
      <c r="B17" s="2">
        <v>0.454433798789978</v>
      </c>
      <c r="C17" s="1">
        <v>37</v>
      </c>
      <c r="D17" s="1">
        <v>869</v>
      </c>
      <c r="E17" s="1">
        <v>868</v>
      </c>
      <c r="F17" s="1">
        <v>1</v>
      </c>
      <c r="G17" s="1">
        <v>0</v>
      </c>
      <c r="H17" s="1">
        <v>37</v>
      </c>
    </row>
    <row r="18" spans="1:8">
      <c r="A18" s="1" t="s">
        <v>16</v>
      </c>
      <c r="B18" s="2">
        <v>0.2333578914403915</v>
      </c>
      <c r="C18" s="1">
        <v>19</v>
      </c>
      <c r="D18" s="1">
        <v>16</v>
      </c>
      <c r="E18" s="1">
        <v>0</v>
      </c>
      <c r="F18" s="1">
        <v>0</v>
      </c>
      <c r="G18" s="1">
        <v>16</v>
      </c>
      <c r="H18" s="1">
        <v>3</v>
      </c>
    </row>
    <row r="19" spans="1:8">
      <c r="A19" s="1" t="s">
        <v>17</v>
      </c>
      <c r="B19" s="2">
        <v>0.196511909365654</v>
      </c>
      <c r="C19" s="1">
        <v>16</v>
      </c>
      <c r="D19" s="1">
        <v>597</v>
      </c>
      <c r="E19" s="1">
        <v>580</v>
      </c>
      <c r="F19" s="1">
        <v>1</v>
      </c>
      <c r="G19" s="1">
        <v>16</v>
      </c>
      <c r="H19" s="1">
        <v>0</v>
      </c>
    </row>
    <row r="20" spans="1:8">
      <c r="A20" s="1" t="s">
        <v>18</v>
      </c>
      <c r="B20" s="2">
        <v>0.196511909365654</v>
      </c>
      <c r="C20" s="1">
        <v>16</v>
      </c>
      <c r="D20" s="1">
        <v>667</v>
      </c>
      <c r="E20" s="1">
        <v>520</v>
      </c>
      <c r="F20" s="1">
        <v>147</v>
      </c>
      <c r="G20" s="1">
        <v>0</v>
      </c>
      <c r="H20" s="1">
        <v>16</v>
      </c>
    </row>
    <row r="21" spans="1:8">
      <c r="A21" s="1" t="s">
        <v>19</v>
      </c>
      <c r="B21" s="2">
        <v>0.1719479262828827</v>
      </c>
      <c r="C21" s="1">
        <v>14</v>
      </c>
      <c r="D21" s="1">
        <v>460</v>
      </c>
      <c r="E21" s="1">
        <v>458</v>
      </c>
      <c r="F21" s="1">
        <v>0</v>
      </c>
      <c r="G21" s="1">
        <v>2</v>
      </c>
      <c r="H21" s="1">
        <v>12</v>
      </c>
    </row>
    <row r="22" spans="1:8">
      <c r="A22" s="1" t="s">
        <v>20</v>
      </c>
      <c r="B22" s="2">
        <v>0.1473839282989502</v>
      </c>
      <c r="C22" s="1">
        <v>12</v>
      </c>
      <c r="D22" s="1">
        <v>602</v>
      </c>
      <c r="E22" s="1">
        <v>602</v>
      </c>
      <c r="F22" s="1">
        <v>0</v>
      </c>
      <c r="G22" s="1">
        <v>0</v>
      </c>
      <c r="H22" s="1">
        <v>12</v>
      </c>
    </row>
    <row r="23" spans="1:8">
      <c r="A23" s="1" t="s">
        <v>21</v>
      </c>
      <c r="B23" s="2">
        <v>0.1228199452161789</v>
      </c>
      <c r="C23" s="1">
        <v>10</v>
      </c>
      <c r="D23" s="1">
        <v>846</v>
      </c>
      <c r="E23" s="1">
        <v>846</v>
      </c>
      <c r="F23" s="1">
        <v>0</v>
      </c>
      <c r="G23" s="1">
        <v>0</v>
      </c>
      <c r="H23" s="1">
        <v>10</v>
      </c>
    </row>
    <row r="24" spans="1:8">
      <c r="A24" s="1" t="s">
        <v>22</v>
      </c>
      <c r="B24" s="2">
        <v>0.08597396314144135</v>
      </c>
      <c r="C24" s="1">
        <v>7</v>
      </c>
      <c r="D24" s="1">
        <v>851</v>
      </c>
      <c r="E24" s="1">
        <v>542</v>
      </c>
      <c r="F24" s="1">
        <v>306</v>
      </c>
      <c r="G24" s="1">
        <v>3</v>
      </c>
      <c r="H24" s="1">
        <v>4</v>
      </c>
    </row>
    <row r="25" spans="1:8">
      <c r="A25" s="1" t="s">
        <v>23</v>
      </c>
      <c r="B25" s="2">
        <v>0.0736919641494751</v>
      </c>
      <c r="C25" s="1">
        <v>6</v>
      </c>
      <c r="D25" s="1">
        <v>2876</v>
      </c>
      <c r="E25" s="1">
        <v>0</v>
      </c>
      <c r="F25" s="1">
        <v>2876</v>
      </c>
      <c r="G25" s="1">
        <v>0</v>
      </c>
      <c r="H25" s="1">
        <v>6</v>
      </c>
    </row>
    <row r="26" spans="1:8">
      <c r="A26" s="1" t="s">
        <v>24</v>
      </c>
      <c r="B26" s="2">
        <v>0.0736919641494751</v>
      </c>
      <c r="C26" s="1">
        <v>6</v>
      </c>
      <c r="D26" s="1">
        <v>1023</v>
      </c>
      <c r="E26" s="1">
        <v>1022</v>
      </c>
      <c r="F26" s="1">
        <v>1</v>
      </c>
      <c r="G26" s="1">
        <v>0</v>
      </c>
      <c r="H26" s="1">
        <v>6</v>
      </c>
    </row>
    <row r="27" spans="1:8">
      <c r="A27" s="1" t="s">
        <v>25</v>
      </c>
      <c r="B27" s="2">
        <v>0.06140997260808945</v>
      </c>
      <c r="C27" s="1">
        <v>5</v>
      </c>
      <c r="D27" s="1">
        <v>363</v>
      </c>
      <c r="E27" s="1">
        <v>362</v>
      </c>
      <c r="F27" s="1">
        <v>1</v>
      </c>
      <c r="G27" s="1">
        <v>0</v>
      </c>
      <c r="H27" s="1">
        <v>5</v>
      </c>
    </row>
    <row r="28" spans="1:8">
      <c r="A28" s="1" t="s">
        <v>26</v>
      </c>
      <c r="B28" s="2">
        <v>0.0491279773414135</v>
      </c>
      <c r="C28" s="1">
        <v>4</v>
      </c>
      <c r="D28" s="1">
        <v>745</v>
      </c>
      <c r="E28" s="1">
        <v>608</v>
      </c>
      <c r="F28" s="1">
        <v>133</v>
      </c>
      <c r="G28" s="1">
        <v>4</v>
      </c>
      <c r="H28" s="1">
        <v>0</v>
      </c>
    </row>
    <row r="29" spans="1:8">
      <c r="A29" s="1" t="s">
        <v>27</v>
      </c>
      <c r="B29" s="2">
        <v>0.0491279773414135</v>
      </c>
      <c r="C29" s="1">
        <v>4</v>
      </c>
      <c r="D29" s="1">
        <v>12</v>
      </c>
      <c r="E29" s="1">
        <v>8</v>
      </c>
      <c r="F29" s="1">
        <v>0</v>
      </c>
      <c r="G29" s="1">
        <v>4</v>
      </c>
      <c r="H29" s="1">
        <v>0</v>
      </c>
    </row>
    <row r="30" spans="1:8">
      <c r="A30" s="1" t="s">
        <v>28</v>
      </c>
      <c r="B30" s="2">
        <v>0.0491279773414135</v>
      </c>
      <c r="C30" s="1">
        <v>4</v>
      </c>
      <c r="D30" s="1">
        <v>708</v>
      </c>
      <c r="E30" s="1">
        <v>660</v>
      </c>
      <c r="F30" s="1">
        <v>44</v>
      </c>
      <c r="G30" s="1">
        <v>4</v>
      </c>
      <c r="H30" s="1">
        <v>0</v>
      </c>
    </row>
    <row r="31" spans="1:8">
      <c r="A31" s="1" t="s">
        <v>29</v>
      </c>
      <c r="B31" s="2">
        <v>0.0491279773414135</v>
      </c>
      <c r="C31" s="1">
        <v>4</v>
      </c>
      <c r="D31" s="1">
        <v>406</v>
      </c>
      <c r="E31" s="1">
        <v>402</v>
      </c>
      <c r="F31" s="1">
        <v>0</v>
      </c>
      <c r="G31" s="1">
        <v>4</v>
      </c>
      <c r="H31" s="1">
        <v>0</v>
      </c>
    </row>
    <row r="32" spans="1:8">
      <c r="A32" s="1" t="s">
        <v>30</v>
      </c>
      <c r="B32" s="2">
        <v>0.0491279773414135</v>
      </c>
      <c r="C32" s="1">
        <v>4</v>
      </c>
      <c r="D32" s="1">
        <v>397</v>
      </c>
      <c r="E32" s="1">
        <v>396</v>
      </c>
      <c r="F32" s="1">
        <v>1</v>
      </c>
      <c r="G32" s="1">
        <v>0</v>
      </c>
      <c r="H32" s="1">
        <v>4</v>
      </c>
    </row>
    <row r="33" spans="1:8">
      <c r="A33" s="1" t="s">
        <v>31</v>
      </c>
      <c r="B33" s="2">
        <v>0.0491279773414135</v>
      </c>
      <c r="C33" s="1">
        <v>4</v>
      </c>
      <c r="D33" s="1">
        <v>271</v>
      </c>
      <c r="E33" s="1">
        <v>270</v>
      </c>
      <c r="F33" s="1">
        <v>1</v>
      </c>
      <c r="G33" s="1">
        <v>0</v>
      </c>
      <c r="H33" s="1">
        <v>4</v>
      </c>
    </row>
    <row r="34" spans="1:8">
      <c r="A34" s="1" t="s">
        <v>32</v>
      </c>
      <c r="B34" s="2">
        <v>0.0491279773414135</v>
      </c>
      <c r="C34" s="1">
        <v>4</v>
      </c>
      <c r="D34" s="1">
        <v>519</v>
      </c>
      <c r="E34" s="1">
        <v>518</v>
      </c>
      <c r="F34" s="1">
        <v>1</v>
      </c>
      <c r="G34" s="1">
        <v>0</v>
      </c>
      <c r="H34" s="1">
        <v>4</v>
      </c>
    </row>
    <row r="35" spans="1:8">
      <c r="A35" s="1" t="s">
        <v>33</v>
      </c>
      <c r="B35" s="2">
        <v>0.0491279773414135</v>
      </c>
      <c r="C35" s="1">
        <v>4</v>
      </c>
      <c r="D35" s="1">
        <v>364</v>
      </c>
      <c r="E35" s="1">
        <v>348</v>
      </c>
      <c r="F35" s="1">
        <v>16</v>
      </c>
      <c r="G35" s="1">
        <v>0</v>
      </c>
      <c r="H35" s="1">
        <v>4</v>
      </c>
    </row>
    <row r="36" spans="1:8">
      <c r="A36" s="1" t="s">
        <v>34</v>
      </c>
      <c r="B36" s="2">
        <v>0.0491279773414135</v>
      </c>
      <c r="C36" s="1">
        <v>4</v>
      </c>
      <c r="D36" s="1">
        <v>262</v>
      </c>
      <c r="E36" s="1">
        <v>262</v>
      </c>
      <c r="F36" s="1">
        <v>0</v>
      </c>
      <c r="G36" s="1">
        <v>0</v>
      </c>
      <c r="H36" s="1">
        <v>4</v>
      </c>
    </row>
    <row r="37" spans="1:8">
      <c r="A37" s="1" t="s">
        <v>35</v>
      </c>
      <c r="B37" s="2">
        <v>0.0491279773414135</v>
      </c>
      <c r="C37" s="1">
        <v>4</v>
      </c>
      <c r="D37" s="1">
        <v>116</v>
      </c>
      <c r="E37" s="1">
        <v>116</v>
      </c>
      <c r="F37" s="1">
        <v>0</v>
      </c>
      <c r="G37" s="1">
        <v>0</v>
      </c>
      <c r="H37" s="1">
        <v>4</v>
      </c>
    </row>
    <row r="38" spans="1:8">
      <c r="A38" s="1" t="s">
        <v>36</v>
      </c>
      <c r="B38" s="2">
        <v>0.03684598207473755</v>
      </c>
      <c r="C38" s="1">
        <v>3</v>
      </c>
      <c r="D38" s="1">
        <v>182</v>
      </c>
      <c r="E38" s="1">
        <v>182</v>
      </c>
      <c r="F38" s="1">
        <v>0</v>
      </c>
      <c r="G38" s="1">
        <v>0</v>
      </c>
      <c r="H38" s="1">
        <v>3</v>
      </c>
    </row>
    <row r="39" spans="1:8">
      <c r="A39" s="1" t="s">
        <v>37</v>
      </c>
      <c r="B39" s="2">
        <v>0.01228199433535337</v>
      </c>
      <c r="C39" s="1">
        <v>1</v>
      </c>
      <c r="D39" s="1">
        <v>56</v>
      </c>
      <c r="E39" s="1">
        <v>56</v>
      </c>
      <c r="F39" s="1">
        <v>0</v>
      </c>
      <c r="G39" s="1">
        <v>0</v>
      </c>
      <c r="H39" s="1">
        <v>1</v>
      </c>
    </row>
    <row r="40" spans="1:8">
      <c r="A40" s="1" t="s">
        <v>38</v>
      </c>
      <c r="B40" s="2">
        <v>0.01228199433535337</v>
      </c>
      <c r="C40" s="1">
        <v>1</v>
      </c>
      <c r="D40" s="1">
        <v>422</v>
      </c>
      <c r="E40" s="1">
        <v>422</v>
      </c>
      <c r="F40" s="1">
        <v>0</v>
      </c>
      <c r="G40" s="1">
        <v>0</v>
      </c>
      <c r="H40" s="1">
        <v>1</v>
      </c>
    </row>
    <row r="96" spans="1:8">
      <c r="A96" t="s">
        <v>95</v>
      </c>
      <c r="B96">
        <f>SUBTOTAL(109,[ram_percent])</f>
        <v>0</v>
      </c>
      <c r="C96">
        <f>SUBTOTAL(109,[ram])</f>
        <v>0</v>
      </c>
      <c r="D96">
        <f>SUBTOTAL(109,[flash])</f>
        <v>0</v>
      </c>
      <c r="E96">
        <f>SUBTOTAL(109,[Code])</f>
        <v>0</v>
      </c>
      <c r="F96">
        <f>SUBTOTAL(109,[RO_data])</f>
        <v>0</v>
      </c>
      <c r="G96">
        <f>SUBTOTAL(109,[RW_data])</f>
        <v>0</v>
      </c>
      <c r="H9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96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94</v>
      </c>
      <c r="B2" t="s">
        <v>103</v>
      </c>
      <c r="C2" t="s">
        <v>98</v>
      </c>
      <c r="D2" t="s">
        <v>97</v>
      </c>
      <c r="E2" t="s">
        <v>99</v>
      </c>
      <c r="F2" t="s">
        <v>100</v>
      </c>
      <c r="G2" t="s">
        <v>101</v>
      </c>
      <c r="H2" t="s">
        <v>102</v>
      </c>
    </row>
    <row r="3" spans="1:8">
      <c r="A3" s="1" t="s">
        <v>2</v>
      </c>
      <c r="B3" s="2">
        <v>10.11361026763916</v>
      </c>
      <c r="C3" s="1">
        <v>4362</v>
      </c>
      <c r="D3" s="1">
        <v>1172</v>
      </c>
      <c r="E3" s="1">
        <v>4198</v>
      </c>
      <c r="F3" s="1">
        <v>164</v>
      </c>
      <c r="G3" s="1">
        <v>0</v>
      </c>
      <c r="H3" s="1">
        <v>1172</v>
      </c>
    </row>
    <row r="4" spans="1:8">
      <c r="A4" s="1" t="s">
        <v>23</v>
      </c>
      <c r="B4" s="2">
        <v>6.668212413787842</v>
      </c>
      <c r="C4" s="1">
        <v>2876</v>
      </c>
      <c r="D4" s="1">
        <v>6</v>
      </c>
      <c r="E4" s="1">
        <v>0</v>
      </c>
      <c r="F4" s="1">
        <v>2876</v>
      </c>
      <c r="G4" s="1">
        <v>0</v>
      </c>
      <c r="H4" s="1">
        <v>6</v>
      </c>
    </row>
    <row r="5" spans="1:8">
      <c r="A5" s="1" t="s">
        <v>9</v>
      </c>
      <c r="B5" s="2">
        <v>4.384418964385986</v>
      </c>
      <c r="C5" s="1">
        <v>1891</v>
      </c>
      <c r="D5" s="1">
        <v>169</v>
      </c>
      <c r="E5" s="1">
        <v>1812</v>
      </c>
      <c r="F5" s="1">
        <v>1</v>
      </c>
      <c r="G5" s="1">
        <v>78</v>
      </c>
      <c r="H5" s="1">
        <v>91</v>
      </c>
    </row>
    <row r="6" spans="1:8">
      <c r="A6" s="1" t="s">
        <v>10</v>
      </c>
      <c r="B6" s="2">
        <v>3.825643301010132</v>
      </c>
      <c r="C6" s="1">
        <v>1650</v>
      </c>
      <c r="D6" s="1">
        <v>165</v>
      </c>
      <c r="E6" s="1">
        <v>1230</v>
      </c>
      <c r="F6" s="1">
        <v>406</v>
      </c>
      <c r="G6" s="1">
        <v>14</v>
      </c>
      <c r="H6" s="1">
        <v>151</v>
      </c>
    </row>
    <row r="7" spans="1:8">
      <c r="A7" s="1" t="s">
        <v>3</v>
      </c>
      <c r="B7" s="2">
        <v>3.505680561065674</v>
      </c>
      <c r="C7" s="1">
        <v>1512</v>
      </c>
      <c r="D7" s="1">
        <v>1100</v>
      </c>
      <c r="E7" s="1">
        <v>1502</v>
      </c>
      <c r="F7" s="1">
        <v>10</v>
      </c>
      <c r="G7" s="1">
        <v>0</v>
      </c>
      <c r="H7" s="1">
        <v>1100</v>
      </c>
    </row>
    <row r="8" spans="1:8">
      <c r="A8" s="1" t="s">
        <v>6</v>
      </c>
      <c r="B8" s="2">
        <v>2.652446031570435</v>
      </c>
      <c r="C8" s="1">
        <v>1144</v>
      </c>
      <c r="D8" s="1">
        <v>414</v>
      </c>
      <c r="E8" s="1">
        <v>1130</v>
      </c>
      <c r="F8" s="1">
        <v>14</v>
      </c>
      <c r="G8" s="1">
        <v>0</v>
      </c>
      <c r="H8" s="1">
        <v>414</v>
      </c>
    </row>
    <row r="9" spans="1:8">
      <c r="A9" s="1" t="s">
        <v>39</v>
      </c>
      <c r="B9" s="2">
        <v>2.617667436599731</v>
      </c>
      <c r="C9" s="1">
        <v>1129</v>
      </c>
      <c r="D9" s="1">
        <v>0</v>
      </c>
      <c r="E9" s="1">
        <v>0</v>
      </c>
      <c r="F9" s="1">
        <v>1129</v>
      </c>
      <c r="G9" s="1">
        <v>0</v>
      </c>
      <c r="H9" s="1">
        <v>0</v>
      </c>
    </row>
    <row r="10" spans="1:8">
      <c r="A10" s="1" t="s">
        <v>40</v>
      </c>
      <c r="B10" s="2">
        <v>2.541154623031616</v>
      </c>
      <c r="C10" s="1">
        <v>1096</v>
      </c>
      <c r="D10" s="1">
        <v>0</v>
      </c>
      <c r="E10" s="1">
        <v>1096</v>
      </c>
      <c r="F10" s="1">
        <v>0</v>
      </c>
      <c r="G10" s="1">
        <v>0</v>
      </c>
      <c r="H10" s="1">
        <v>0</v>
      </c>
    </row>
    <row r="11" spans="1:8">
      <c r="A11" s="1" t="s">
        <v>41</v>
      </c>
      <c r="B11" s="2">
        <v>2.413633108139038</v>
      </c>
      <c r="C11" s="1">
        <v>1041</v>
      </c>
      <c r="D11" s="1">
        <v>0</v>
      </c>
      <c r="E11" s="1">
        <v>16</v>
      </c>
      <c r="F11" s="1">
        <v>1025</v>
      </c>
      <c r="G11" s="1">
        <v>0</v>
      </c>
      <c r="H11" s="1">
        <v>0</v>
      </c>
    </row>
    <row r="12" spans="1:8">
      <c r="A12" s="1" t="s">
        <v>42</v>
      </c>
      <c r="B12" s="2">
        <v>2.38349175453186</v>
      </c>
      <c r="C12" s="1">
        <v>1028</v>
      </c>
      <c r="D12" s="1">
        <v>0</v>
      </c>
      <c r="E12" s="1">
        <v>1028</v>
      </c>
      <c r="F12" s="1">
        <v>0</v>
      </c>
      <c r="G12" s="1">
        <v>0</v>
      </c>
      <c r="H12" s="1">
        <v>0</v>
      </c>
    </row>
    <row r="13" spans="1:8">
      <c r="A13" s="1" t="s">
        <v>24</v>
      </c>
      <c r="B13" s="2">
        <v>2.371898889541626</v>
      </c>
      <c r="C13" s="1">
        <v>1023</v>
      </c>
      <c r="D13" s="1">
        <v>6</v>
      </c>
      <c r="E13" s="1">
        <v>1022</v>
      </c>
      <c r="F13" s="1">
        <v>1</v>
      </c>
      <c r="G13" s="1">
        <v>0</v>
      </c>
      <c r="H13" s="1">
        <v>6</v>
      </c>
    </row>
    <row r="14" spans="1:8">
      <c r="A14" s="1" t="s">
        <v>43</v>
      </c>
      <c r="B14" s="2">
        <v>2.258288860321045</v>
      </c>
      <c r="C14" s="1">
        <v>974</v>
      </c>
      <c r="D14" s="1">
        <v>0</v>
      </c>
      <c r="E14" s="1">
        <v>974</v>
      </c>
      <c r="F14" s="1">
        <v>0</v>
      </c>
      <c r="G14" s="1">
        <v>0</v>
      </c>
      <c r="H14" s="1">
        <v>0</v>
      </c>
    </row>
    <row r="15" spans="1:8">
      <c r="A15" s="1" t="s">
        <v>15</v>
      </c>
      <c r="B15" s="2">
        <v>2.014838933944702</v>
      </c>
      <c r="C15" s="1">
        <v>869</v>
      </c>
      <c r="D15" s="1">
        <v>37</v>
      </c>
      <c r="E15" s="1">
        <v>868</v>
      </c>
      <c r="F15" s="1">
        <v>1</v>
      </c>
      <c r="G15" s="1">
        <v>0</v>
      </c>
      <c r="H15" s="1">
        <v>37</v>
      </c>
    </row>
    <row r="16" spans="1:8">
      <c r="A16" s="1" t="s">
        <v>44</v>
      </c>
      <c r="B16" s="2">
        <v>1.998608827590942</v>
      </c>
      <c r="C16" s="1">
        <v>862</v>
      </c>
      <c r="D16" s="1">
        <v>0</v>
      </c>
      <c r="E16" s="1">
        <v>862</v>
      </c>
      <c r="F16" s="1">
        <v>0</v>
      </c>
      <c r="G16" s="1">
        <v>0</v>
      </c>
      <c r="H16" s="1">
        <v>0</v>
      </c>
    </row>
    <row r="17" spans="1:8">
      <c r="A17" s="1" t="s">
        <v>22</v>
      </c>
      <c r="B17" s="2">
        <v>1.973104596138001</v>
      </c>
      <c r="C17" s="1">
        <v>851</v>
      </c>
      <c r="D17" s="1">
        <v>7</v>
      </c>
      <c r="E17" s="1">
        <v>542</v>
      </c>
      <c r="F17" s="1">
        <v>306</v>
      </c>
      <c r="G17" s="1">
        <v>3</v>
      </c>
      <c r="H17" s="1">
        <v>4</v>
      </c>
    </row>
    <row r="18" spans="1:8">
      <c r="A18" s="1" t="s">
        <v>21</v>
      </c>
      <c r="B18" s="2">
        <v>1.961511731147766</v>
      </c>
      <c r="C18" s="1">
        <v>846</v>
      </c>
      <c r="D18" s="1">
        <v>10</v>
      </c>
      <c r="E18" s="1">
        <v>846</v>
      </c>
      <c r="F18" s="1">
        <v>0</v>
      </c>
      <c r="G18" s="1">
        <v>0</v>
      </c>
      <c r="H18" s="1">
        <v>10</v>
      </c>
    </row>
    <row r="19" spans="1:8">
      <c r="A19" s="1" t="s">
        <v>45</v>
      </c>
      <c r="B19" s="2">
        <v>1.942963123321533</v>
      </c>
      <c r="C19" s="1">
        <v>838</v>
      </c>
      <c r="D19" s="1">
        <v>0</v>
      </c>
      <c r="E19" s="1">
        <v>838</v>
      </c>
      <c r="F19" s="1">
        <v>0</v>
      </c>
      <c r="G19" s="1">
        <v>0</v>
      </c>
      <c r="H19" s="1">
        <v>0</v>
      </c>
    </row>
    <row r="20" spans="1:8">
      <c r="A20" s="1" t="s">
        <v>26</v>
      </c>
      <c r="B20" s="2">
        <v>1.727335929870606</v>
      </c>
      <c r="C20" s="1">
        <v>745</v>
      </c>
      <c r="D20" s="1">
        <v>4</v>
      </c>
      <c r="E20" s="1">
        <v>608</v>
      </c>
      <c r="F20" s="1">
        <v>133</v>
      </c>
      <c r="G20" s="1">
        <v>4</v>
      </c>
      <c r="H20" s="1">
        <v>0</v>
      </c>
    </row>
    <row r="21" spans="1:8">
      <c r="A21" s="1" t="s">
        <v>46</v>
      </c>
      <c r="B21" s="2">
        <v>1.669371724128723</v>
      </c>
      <c r="C21" s="1">
        <v>720</v>
      </c>
      <c r="D21" s="1">
        <v>0</v>
      </c>
      <c r="E21" s="1">
        <v>704</v>
      </c>
      <c r="F21" s="1">
        <v>16</v>
      </c>
      <c r="G21" s="1">
        <v>0</v>
      </c>
      <c r="H21" s="1">
        <v>0</v>
      </c>
    </row>
    <row r="22" spans="1:8">
      <c r="A22" s="1" t="s">
        <v>13</v>
      </c>
      <c r="B22" s="2">
        <v>1.657778859138489</v>
      </c>
      <c r="C22" s="1">
        <v>715</v>
      </c>
      <c r="D22" s="1">
        <v>72</v>
      </c>
      <c r="E22" s="1">
        <v>714</v>
      </c>
      <c r="F22" s="1">
        <v>1</v>
      </c>
      <c r="G22" s="1">
        <v>0</v>
      </c>
      <c r="H22" s="1">
        <v>72</v>
      </c>
    </row>
    <row r="23" spans="1:8">
      <c r="A23" s="1" t="s">
        <v>28</v>
      </c>
      <c r="B23" s="2">
        <v>1.641548752784729</v>
      </c>
      <c r="C23" s="1">
        <v>708</v>
      </c>
      <c r="D23" s="1">
        <v>4</v>
      </c>
      <c r="E23" s="1">
        <v>660</v>
      </c>
      <c r="F23" s="1">
        <v>44</v>
      </c>
      <c r="G23" s="1">
        <v>4</v>
      </c>
      <c r="H23" s="1">
        <v>0</v>
      </c>
    </row>
    <row r="24" spans="1:8">
      <c r="A24" s="1" t="s">
        <v>47</v>
      </c>
      <c r="B24" s="2">
        <v>1.641548752784729</v>
      </c>
      <c r="C24" s="1">
        <v>708</v>
      </c>
      <c r="D24" s="1">
        <v>0</v>
      </c>
      <c r="E24" s="1">
        <v>708</v>
      </c>
      <c r="F24" s="1">
        <v>0</v>
      </c>
      <c r="G24" s="1">
        <v>0</v>
      </c>
      <c r="H24" s="1">
        <v>0</v>
      </c>
    </row>
    <row r="25" spans="1:8">
      <c r="A25" s="1" t="s">
        <v>18</v>
      </c>
      <c r="B25" s="2">
        <v>1.546487331390381</v>
      </c>
      <c r="C25" s="1">
        <v>667</v>
      </c>
      <c r="D25" s="1">
        <v>16</v>
      </c>
      <c r="E25" s="1">
        <v>520</v>
      </c>
      <c r="F25" s="1">
        <v>147</v>
      </c>
      <c r="G25" s="1">
        <v>0</v>
      </c>
      <c r="H25" s="1">
        <v>16</v>
      </c>
    </row>
    <row r="26" spans="1:8">
      <c r="A26" s="1" t="s">
        <v>48</v>
      </c>
      <c r="B26" s="2">
        <v>1.418965935707092</v>
      </c>
      <c r="C26" s="1">
        <v>612</v>
      </c>
      <c r="D26" s="1">
        <v>0</v>
      </c>
      <c r="E26" s="1">
        <v>538</v>
      </c>
      <c r="F26" s="1">
        <v>74</v>
      </c>
      <c r="G26" s="1">
        <v>0</v>
      </c>
      <c r="H26" s="1">
        <v>0</v>
      </c>
    </row>
    <row r="27" spans="1:8">
      <c r="A27" s="1" t="s">
        <v>20</v>
      </c>
      <c r="B27" s="2">
        <v>1.395780205726624</v>
      </c>
      <c r="C27" s="1">
        <v>602</v>
      </c>
      <c r="D27" s="1">
        <v>12</v>
      </c>
      <c r="E27" s="1">
        <v>602</v>
      </c>
      <c r="F27" s="1">
        <v>0</v>
      </c>
      <c r="G27" s="1">
        <v>0</v>
      </c>
      <c r="H27" s="1">
        <v>12</v>
      </c>
    </row>
    <row r="28" spans="1:8">
      <c r="A28" s="1" t="s">
        <v>17</v>
      </c>
      <c r="B28" s="2">
        <v>1.384187340736389</v>
      </c>
      <c r="C28" s="1">
        <v>597</v>
      </c>
      <c r="D28" s="1">
        <v>16</v>
      </c>
      <c r="E28" s="1">
        <v>580</v>
      </c>
      <c r="F28" s="1">
        <v>1</v>
      </c>
      <c r="G28" s="1">
        <v>16</v>
      </c>
      <c r="H28" s="1">
        <v>0</v>
      </c>
    </row>
    <row r="29" spans="1:8">
      <c r="A29" s="1" t="s">
        <v>12</v>
      </c>
      <c r="B29" s="2">
        <v>1.27985155582428</v>
      </c>
      <c r="C29" s="1">
        <v>552</v>
      </c>
      <c r="D29" s="1">
        <v>83</v>
      </c>
      <c r="E29" s="1">
        <v>552</v>
      </c>
      <c r="F29" s="1">
        <v>0</v>
      </c>
      <c r="G29" s="1">
        <v>0</v>
      </c>
      <c r="H29" s="1">
        <v>83</v>
      </c>
    </row>
    <row r="30" spans="1:8">
      <c r="A30" s="1" t="s">
        <v>49</v>
      </c>
      <c r="B30" s="2">
        <v>1.242754459381104</v>
      </c>
      <c r="C30" s="1">
        <v>536</v>
      </c>
      <c r="D30" s="1">
        <v>0</v>
      </c>
      <c r="E30" s="1">
        <v>536</v>
      </c>
      <c r="F30" s="1">
        <v>0</v>
      </c>
      <c r="G30" s="1">
        <v>0</v>
      </c>
      <c r="H30" s="1">
        <v>0</v>
      </c>
    </row>
    <row r="31" spans="1:8">
      <c r="A31" s="1" t="s">
        <v>32</v>
      </c>
      <c r="B31" s="2">
        <v>1.203338742256165</v>
      </c>
      <c r="C31" s="1">
        <v>519</v>
      </c>
      <c r="D31" s="1">
        <v>4</v>
      </c>
      <c r="E31" s="1">
        <v>518</v>
      </c>
      <c r="F31" s="1">
        <v>1</v>
      </c>
      <c r="G31" s="1">
        <v>0</v>
      </c>
      <c r="H31" s="1">
        <v>4</v>
      </c>
    </row>
    <row r="32" spans="1:8">
      <c r="A32" s="1" t="s">
        <v>50</v>
      </c>
      <c r="B32" s="2">
        <v>1.189427256584168</v>
      </c>
      <c r="C32" s="1">
        <v>513</v>
      </c>
      <c r="D32" s="1">
        <v>0</v>
      </c>
      <c r="E32" s="1">
        <v>496</v>
      </c>
      <c r="F32" s="1">
        <v>17</v>
      </c>
      <c r="G32" s="1">
        <v>0</v>
      </c>
      <c r="H32" s="1">
        <v>0</v>
      </c>
    </row>
    <row r="33" spans="1:8">
      <c r="A33" s="1" t="s">
        <v>51</v>
      </c>
      <c r="B33" s="2">
        <v>1.187108755111694</v>
      </c>
      <c r="C33" s="1">
        <v>512</v>
      </c>
      <c r="D33" s="1">
        <v>0</v>
      </c>
      <c r="E33" s="1">
        <v>512</v>
      </c>
      <c r="F33" s="1">
        <v>0</v>
      </c>
      <c r="G33" s="1">
        <v>0</v>
      </c>
      <c r="H33" s="1">
        <v>0</v>
      </c>
    </row>
    <row r="34" spans="1:8">
      <c r="A34" s="1" t="s">
        <v>8</v>
      </c>
      <c r="B34" s="2">
        <v>1.122188687324524</v>
      </c>
      <c r="C34" s="1">
        <v>484</v>
      </c>
      <c r="D34" s="1">
        <v>217</v>
      </c>
      <c r="E34" s="1">
        <v>216</v>
      </c>
      <c r="F34" s="1">
        <v>64</v>
      </c>
      <c r="G34" s="1">
        <v>204</v>
      </c>
      <c r="H34" s="1">
        <v>13</v>
      </c>
    </row>
    <row r="35" spans="1:8">
      <c r="A35" s="1" t="s">
        <v>4</v>
      </c>
      <c r="B35" s="2">
        <v>1.115233063697815</v>
      </c>
      <c r="C35" s="1">
        <v>481</v>
      </c>
      <c r="D35" s="1">
        <v>696</v>
      </c>
      <c r="E35" s="1">
        <v>472</v>
      </c>
      <c r="F35" s="1">
        <v>9</v>
      </c>
      <c r="G35" s="1">
        <v>0</v>
      </c>
      <c r="H35" s="1">
        <v>696</v>
      </c>
    </row>
    <row r="36" spans="1:8">
      <c r="A36" s="1" t="s">
        <v>19</v>
      </c>
      <c r="B36" s="2">
        <v>1.066542983055115</v>
      </c>
      <c r="C36" s="1">
        <v>460</v>
      </c>
      <c r="D36" s="1">
        <v>14</v>
      </c>
      <c r="E36" s="1">
        <v>458</v>
      </c>
      <c r="F36" s="1">
        <v>0</v>
      </c>
      <c r="G36" s="1">
        <v>2</v>
      </c>
      <c r="H36" s="1">
        <v>12</v>
      </c>
    </row>
    <row r="37" spans="1:8">
      <c r="A37" s="1" t="s">
        <v>52</v>
      </c>
      <c r="B37" s="2">
        <v>1.047994494438171</v>
      </c>
      <c r="C37" s="1">
        <v>452</v>
      </c>
      <c r="D37" s="1">
        <v>0</v>
      </c>
      <c r="E37" s="1">
        <v>452</v>
      </c>
      <c r="F37" s="1">
        <v>0</v>
      </c>
      <c r="G37" s="1">
        <v>0</v>
      </c>
      <c r="H37" s="1">
        <v>0</v>
      </c>
    </row>
    <row r="38" spans="1:8">
      <c r="A38" s="1" t="s">
        <v>1</v>
      </c>
      <c r="B38" s="2">
        <v>1.010897278785706</v>
      </c>
      <c r="C38" s="1">
        <v>436</v>
      </c>
      <c r="D38" s="1">
        <v>2920</v>
      </c>
      <c r="E38" s="1">
        <v>350</v>
      </c>
      <c r="F38" s="1">
        <v>86</v>
      </c>
      <c r="G38" s="1">
        <v>0</v>
      </c>
      <c r="H38" s="1">
        <v>2920</v>
      </c>
    </row>
    <row r="39" spans="1:8">
      <c r="A39" s="1" t="s">
        <v>53</v>
      </c>
      <c r="B39" s="2">
        <v>1.010897278785706</v>
      </c>
      <c r="C39" s="1">
        <v>436</v>
      </c>
      <c r="D39" s="1">
        <v>0</v>
      </c>
      <c r="E39" s="1">
        <v>436</v>
      </c>
      <c r="F39" s="1">
        <v>0</v>
      </c>
      <c r="G39" s="1">
        <v>0</v>
      </c>
      <c r="H39" s="1">
        <v>0</v>
      </c>
    </row>
    <row r="40" spans="1:8">
      <c r="A40" s="1" t="s">
        <v>38</v>
      </c>
      <c r="B40" s="2">
        <v>0.9784373044967651</v>
      </c>
      <c r="C40" s="1">
        <v>422</v>
      </c>
      <c r="D40" s="1">
        <v>1</v>
      </c>
      <c r="E40" s="1">
        <v>422</v>
      </c>
      <c r="F40" s="1">
        <v>0</v>
      </c>
      <c r="G40" s="1">
        <v>0</v>
      </c>
      <c r="H40" s="1">
        <v>1</v>
      </c>
    </row>
    <row r="41" spans="1:8">
      <c r="A41" s="1" t="s">
        <v>29</v>
      </c>
      <c r="B41" s="2">
        <v>0.9413401484489441</v>
      </c>
      <c r="C41" s="1">
        <v>406</v>
      </c>
      <c r="D41" s="1">
        <v>4</v>
      </c>
      <c r="E41" s="1">
        <v>402</v>
      </c>
      <c r="F41" s="1">
        <v>0</v>
      </c>
      <c r="G41" s="1">
        <v>4</v>
      </c>
      <c r="H41" s="1">
        <v>0</v>
      </c>
    </row>
    <row r="42" spans="1:8">
      <c r="A42" s="1" t="s">
        <v>30</v>
      </c>
      <c r="B42" s="2">
        <v>0.9204729795455933</v>
      </c>
      <c r="C42" s="1">
        <v>397</v>
      </c>
      <c r="D42" s="1">
        <v>4</v>
      </c>
      <c r="E42" s="1">
        <v>396</v>
      </c>
      <c r="F42" s="1">
        <v>1</v>
      </c>
      <c r="G42" s="1">
        <v>0</v>
      </c>
      <c r="H42" s="1">
        <v>4</v>
      </c>
    </row>
    <row r="43" spans="1:8">
      <c r="A43" s="1" t="s">
        <v>5</v>
      </c>
      <c r="B43" s="2">
        <v>0.8439601063728333</v>
      </c>
      <c r="C43" s="1">
        <v>364</v>
      </c>
      <c r="D43" s="1">
        <v>512</v>
      </c>
      <c r="E43" s="1">
        <v>36</v>
      </c>
      <c r="F43" s="1">
        <v>328</v>
      </c>
      <c r="G43" s="1">
        <v>0</v>
      </c>
      <c r="H43" s="1">
        <v>512</v>
      </c>
    </row>
    <row r="44" spans="1:8">
      <c r="A44" s="1" t="s">
        <v>33</v>
      </c>
      <c r="B44" s="2">
        <v>0.8439601063728333</v>
      </c>
      <c r="C44" s="1">
        <v>364</v>
      </c>
      <c r="D44" s="1">
        <v>4</v>
      </c>
      <c r="E44" s="1">
        <v>348</v>
      </c>
      <c r="F44" s="1">
        <v>16</v>
      </c>
      <c r="G44" s="1">
        <v>0</v>
      </c>
      <c r="H44" s="1">
        <v>4</v>
      </c>
    </row>
    <row r="45" spans="1:8">
      <c r="A45" s="1" t="s">
        <v>25</v>
      </c>
      <c r="B45" s="2">
        <v>0.8416415452957153</v>
      </c>
      <c r="C45" s="1">
        <v>363</v>
      </c>
      <c r="D45" s="1">
        <v>5</v>
      </c>
      <c r="E45" s="1">
        <v>362</v>
      </c>
      <c r="F45" s="1">
        <v>1</v>
      </c>
      <c r="G45" s="1">
        <v>0</v>
      </c>
      <c r="H45" s="1">
        <v>5</v>
      </c>
    </row>
    <row r="46" spans="1:8">
      <c r="A46" s="1" t="s">
        <v>54</v>
      </c>
      <c r="B46" s="2">
        <v>0.8207743763923645</v>
      </c>
      <c r="C46" s="1">
        <v>354</v>
      </c>
      <c r="D46" s="1">
        <v>0</v>
      </c>
      <c r="E46" s="1">
        <v>98</v>
      </c>
      <c r="F46" s="1">
        <v>256</v>
      </c>
      <c r="G46" s="1">
        <v>0</v>
      </c>
      <c r="H46" s="1">
        <v>0</v>
      </c>
    </row>
    <row r="47" spans="1:8">
      <c r="A47" s="1" t="s">
        <v>55</v>
      </c>
      <c r="B47" s="2">
        <v>0.8091815710067749</v>
      </c>
      <c r="C47" s="1">
        <v>349</v>
      </c>
      <c r="D47" s="1">
        <v>0</v>
      </c>
      <c r="E47" s="1">
        <v>348</v>
      </c>
      <c r="F47" s="1">
        <v>1</v>
      </c>
      <c r="G47" s="1">
        <v>0</v>
      </c>
      <c r="H47" s="1">
        <v>0</v>
      </c>
    </row>
    <row r="48" spans="1:8">
      <c r="A48" s="1" t="s">
        <v>56</v>
      </c>
      <c r="B48" s="2">
        <v>0.714120090007782</v>
      </c>
      <c r="C48" s="1">
        <v>308</v>
      </c>
      <c r="D48" s="1">
        <v>0</v>
      </c>
      <c r="E48" s="1">
        <v>308</v>
      </c>
      <c r="F48" s="1">
        <v>0</v>
      </c>
      <c r="G48" s="1">
        <v>0</v>
      </c>
      <c r="H48" s="1">
        <v>0</v>
      </c>
    </row>
    <row r="49" spans="1:8">
      <c r="A49" s="1" t="s">
        <v>57</v>
      </c>
      <c r="B49" s="2">
        <v>0.6677486896514893</v>
      </c>
      <c r="C49" s="1">
        <v>288</v>
      </c>
      <c r="D49" s="1">
        <v>0</v>
      </c>
      <c r="E49" s="1">
        <v>288</v>
      </c>
      <c r="F49" s="1">
        <v>0</v>
      </c>
      <c r="G49" s="1">
        <v>0</v>
      </c>
      <c r="H49" s="1">
        <v>0</v>
      </c>
    </row>
    <row r="50" spans="1:8">
      <c r="A50" s="1" t="s">
        <v>58</v>
      </c>
      <c r="B50" s="2">
        <v>0.653837263584137</v>
      </c>
      <c r="C50" s="1">
        <v>282</v>
      </c>
      <c r="D50" s="1">
        <v>0</v>
      </c>
      <c r="E50" s="1">
        <v>282</v>
      </c>
      <c r="F50" s="1">
        <v>0</v>
      </c>
      <c r="G50" s="1">
        <v>0</v>
      </c>
      <c r="H50" s="1">
        <v>0</v>
      </c>
    </row>
    <row r="51" spans="1:8">
      <c r="A51" s="1" t="s">
        <v>59</v>
      </c>
      <c r="B51" s="2">
        <v>0.6329700946807861</v>
      </c>
      <c r="C51" s="1">
        <v>273</v>
      </c>
      <c r="D51" s="1">
        <v>0</v>
      </c>
      <c r="E51" s="1">
        <v>272</v>
      </c>
      <c r="F51" s="1">
        <v>1</v>
      </c>
      <c r="G51" s="1">
        <v>0</v>
      </c>
      <c r="H51" s="1">
        <v>0</v>
      </c>
    </row>
    <row r="52" spans="1:8">
      <c r="A52" s="1" t="s">
        <v>31</v>
      </c>
      <c r="B52" s="2">
        <v>0.6283329725265503</v>
      </c>
      <c r="C52" s="1">
        <v>271</v>
      </c>
      <c r="D52" s="1">
        <v>4</v>
      </c>
      <c r="E52" s="1">
        <v>270</v>
      </c>
      <c r="F52" s="1">
        <v>1</v>
      </c>
      <c r="G52" s="1">
        <v>0</v>
      </c>
      <c r="H52" s="1">
        <v>4</v>
      </c>
    </row>
    <row r="53" spans="1:8">
      <c r="A53" s="1" t="s">
        <v>34</v>
      </c>
      <c r="B53" s="2">
        <v>0.6074658036231995</v>
      </c>
      <c r="C53" s="1">
        <v>262</v>
      </c>
      <c r="D53" s="1">
        <v>4</v>
      </c>
      <c r="E53" s="1">
        <v>262</v>
      </c>
      <c r="F53" s="1">
        <v>0</v>
      </c>
      <c r="G53" s="1">
        <v>0</v>
      </c>
      <c r="H53" s="1">
        <v>4</v>
      </c>
    </row>
    <row r="54" spans="1:8">
      <c r="A54" s="1" t="s">
        <v>60</v>
      </c>
      <c r="B54" s="2">
        <v>0.5842800736427307</v>
      </c>
      <c r="C54" s="1">
        <v>252</v>
      </c>
      <c r="D54" s="1">
        <v>0</v>
      </c>
      <c r="E54" s="1">
        <v>0</v>
      </c>
      <c r="F54" s="1">
        <v>252</v>
      </c>
      <c r="G54" s="1">
        <v>0</v>
      </c>
      <c r="H54" s="1">
        <v>0</v>
      </c>
    </row>
    <row r="55" spans="1:8">
      <c r="A55" s="1" t="s">
        <v>14</v>
      </c>
      <c r="B55" s="2">
        <v>0.537908673286438</v>
      </c>
      <c r="C55" s="1">
        <v>232</v>
      </c>
      <c r="D55" s="1">
        <v>48</v>
      </c>
      <c r="E55" s="1">
        <v>184</v>
      </c>
      <c r="F55" s="1">
        <v>0</v>
      </c>
      <c r="G55" s="1">
        <v>48</v>
      </c>
      <c r="H55" s="1">
        <v>0</v>
      </c>
    </row>
    <row r="56" spans="1:8">
      <c r="A56" s="1" t="s">
        <v>7</v>
      </c>
      <c r="B56" s="2">
        <v>0.5239972472190857</v>
      </c>
      <c r="C56" s="1">
        <v>226</v>
      </c>
      <c r="D56" s="1">
        <v>261</v>
      </c>
      <c r="E56" s="1">
        <v>226</v>
      </c>
      <c r="F56" s="1">
        <v>0</v>
      </c>
      <c r="G56" s="1">
        <v>0</v>
      </c>
      <c r="H56" s="1">
        <v>261</v>
      </c>
    </row>
    <row r="57" spans="1:8">
      <c r="A57" s="1" t="s">
        <v>61</v>
      </c>
      <c r="B57" s="2">
        <v>0.4637143611907959</v>
      </c>
      <c r="C57" s="1">
        <v>200</v>
      </c>
      <c r="D57" s="1">
        <v>0</v>
      </c>
      <c r="E57" s="1">
        <v>200</v>
      </c>
      <c r="F57" s="1">
        <v>0</v>
      </c>
      <c r="G57" s="1">
        <v>0</v>
      </c>
      <c r="H57" s="1">
        <v>0</v>
      </c>
    </row>
    <row r="58" spans="1:8">
      <c r="A58" s="1" t="s">
        <v>36</v>
      </c>
      <c r="B58" s="2">
        <v>0.4219800531864166</v>
      </c>
      <c r="C58" s="1">
        <v>182</v>
      </c>
      <c r="D58" s="1">
        <v>3</v>
      </c>
      <c r="E58" s="1">
        <v>182</v>
      </c>
      <c r="F58" s="1">
        <v>0</v>
      </c>
      <c r="G58" s="1">
        <v>0</v>
      </c>
      <c r="H58" s="1">
        <v>3</v>
      </c>
    </row>
    <row r="59" spans="1:8">
      <c r="A59" s="1" t="s">
        <v>62</v>
      </c>
      <c r="B59" s="2">
        <v>0.3709714710712433</v>
      </c>
      <c r="C59" s="1">
        <v>160</v>
      </c>
      <c r="D59" s="1">
        <v>0</v>
      </c>
      <c r="E59" s="1">
        <v>160</v>
      </c>
      <c r="F59" s="1">
        <v>0</v>
      </c>
      <c r="G59" s="1">
        <v>0</v>
      </c>
      <c r="H59" s="1">
        <v>0</v>
      </c>
    </row>
    <row r="60" spans="1:8">
      <c r="A60" s="1" t="s">
        <v>63</v>
      </c>
      <c r="B60" s="2">
        <v>0.3663343489170075</v>
      </c>
      <c r="C60" s="1">
        <v>158</v>
      </c>
      <c r="D60" s="1">
        <v>0</v>
      </c>
      <c r="E60" s="1">
        <v>158</v>
      </c>
      <c r="F60" s="1">
        <v>0</v>
      </c>
      <c r="G60" s="1">
        <v>0</v>
      </c>
      <c r="H60" s="1">
        <v>0</v>
      </c>
    </row>
    <row r="61" spans="1:8">
      <c r="A61" s="1" t="s">
        <v>64</v>
      </c>
      <c r="B61" s="2">
        <v>0.3616971969604492</v>
      </c>
      <c r="C61" s="1">
        <v>156</v>
      </c>
      <c r="D61" s="1">
        <v>0</v>
      </c>
      <c r="E61" s="1">
        <v>156</v>
      </c>
      <c r="F61" s="1">
        <v>0</v>
      </c>
      <c r="G61" s="1">
        <v>0</v>
      </c>
      <c r="H61" s="1">
        <v>0</v>
      </c>
    </row>
    <row r="62" spans="1:8">
      <c r="A62" s="1" t="s">
        <v>65</v>
      </c>
      <c r="B62" s="2">
        <v>0.3292371928691864</v>
      </c>
      <c r="C62" s="1">
        <v>142</v>
      </c>
      <c r="D62" s="1">
        <v>0</v>
      </c>
      <c r="E62" s="1">
        <v>142</v>
      </c>
      <c r="F62" s="1">
        <v>0</v>
      </c>
      <c r="G62" s="1">
        <v>0</v>
      </c>
      <c r="H62" s="1">
        <v>0</v>
      </c>
    </row>
    <row r="63" spans="1:8">
      <c r="A63" s="1" t="s">
        <v>66</v>
      </c>
      <c r="B63" s="2">
        <v>0.3269186317920685</v>
      </c>
      <c r="C63" s="1">
        <v>141</v>
      </c>
      <c r="D63" s="1">
        <v>0</v>
      </c>
      <c r="E63" s="1">
        <v>8</v>
      </c>
      <c r="F63" s="1">
        <v>133</v>
      </c>
      <c r="G63" s="1">
        <v>0</v>
      </c>
      <c r="H63" s="1">
        <v>0</v>
      </c>
    </row>
    <row r="64" spans="1:8">
      <c r="A64" s="1" t="s">
        <v>11</v>
      </c>
      <c r="B64" s="2">
        <v>0.3060514628887177</v>
      </c>
      <c r="C64" s="1">
        <v>132</v>
      </c>
      <c r="D64" s="1">
        <v>120</v>
      </c>
      <c r="E64" s="1">
        <v>0</v>
      </c>
      <c r="F64" s="1">
        <v>12</v>
      </c>
      <c r="G64" s="1">
        <v>120</v>
      </c>
      <c r="H64" s="1">
        <v>0</v>
      </c>
    </row>
    <row r="65" spans="1:8">
      <c r="A65" s="1" t="s">
        <v>35</v>
      </c>
      <c r="B65" s="2">
        <v>0.268954336643219</v>
      </c>
      <c r="C65" s="1">
        <v>116</v>
      </c>
      <c r="D65" s="1">
        <v>4</v>
      </c>
      <c r="E65" s="1">
        <v>116</v>
      </c>
      <c r="F65" s="1">
        <v>0</v>
      </c>
      <c r="G65" s="1">
        <v>0</v>
      </c>
      <c r="H65" s="1">
        <v>4</v>
      </c>
    </row>
    <row r="66" spans="1:8">
      <c r="A66" s="1" t="s">
        <v>67</v>
      </c>
      <c r="B66" s="2">
        <v>0.2596800327301025</v>
      </c>
      <c r="C66" s="1">
        <v>112</v>
      </c>
      <c r="D66" s="1">
        <v>0</v>
      </c>
      <c r="E66" s="1">
        <v>112</v>
      </c>
      <c r="F66" s="1">
        <v>0</v>
      </c>
      <c r="G66" s="1">
        <v>0</v>
      </c>
      <c r="H66" s="1">
        <v>0</v>
      </c>
    </row>
    <row r="67" spans="1:8">
      <c r="A67" s="1" t="s">
        <v>68</v>
      </c>
      <c r="B67" s="2">
        <v>0.2225828915834427</v>
      </c>
      <c r="C67" s="1">
        <v>96</v>
      </c>
      <c r="D67" s="1">
        <v>0</v>
      </c>
      <c r="E67" s="1">
        <v>96</v>
      </c>
      <c r="F67" s="1">
        <v>0</v>
      </c>
      <c r="G67" s="1">
        <v>0</v>
      </c>
      <c r="H67" s="1">
        <v>0</v>
      </c>
    </row>
    <row r="68" spans="1:8">
      <c r="A68" s="1" t="s">
        <v>69</v>
      </c>
      <c r="B68" s="2">
        <v>0.2086714655160904</v>
      </c>
      <c r="C68" s="1">
        <v>90</v>
      </c>
      <c r="D68" s="1">
        <v>0</v>
      </c>
      <c r="E68" s="1">
        <v>90</v>
      </c>
      <c r="F68" s="1">
        <v>0</v>
      </c>
      <c r="G68" s="1">
        <v>0</v>
      </c>
      <c r="H68" s="1">
        <v>0</v>
      </c>
    </row>
    <row r="69" spans="1:8">
      <c r="A69" s="1" t="s">
        <v>70</v>
      </c>
      <c r="B69" s="2">
        <v>0.1993971765041351</v>
      </c>
      <c r="C69" s="1">
        <v>86</v>
      </c>
      <c r="D69" s="1">
        <v>0</v>
      </c>
      <c r="E69" s="1">
        <v>86</v>
      </c>
      <c r="F69" s="1">
        <v>0</v>
      </c>
      <c r="G69" s="1">
        <v>0</v>
      </c>
      <c r="H69" s="1">
        <v>0</v>
      </c>
    </row>
    <row r="70" spans="1:8">
      <c r="A70" s="1" t="s">
        <v>71</v>
      </c>
      <c r="B70" s="2">
        <v>0.1947600245475769</v>
      </c>
      <c r="C70" s="1">
        <v>84</v>
      </c>
      <c r="D70" s="1">
        <v>0</v>
      </c>
      <c r="E70" s="1">
        <v>84</v>
      </c>
      <c r="F70" s="1">
        <v>0</v>
      </c>
      <c r="G70" s="1">
        <v>0</v>
      </c>
      <c r="H70" s="1">
        <v>0</v>
      </c>
    </row>
    <row r="71" spans="1:8">
      <c r="A71" s="1" t="s">
        <v>37</v>
      </c>
      <c r="B71" s="2">
        <v>0.1298400163650513</v>
      </c>
      <c r="C71" s="1">
        <v>56</v>
      </c>
      <c r="D71" s="1">
        <v>1</v>
      </c>
      <c r="E71" s="1">
        <v>56</v>
      </c>
      <c r="F71" s="1">
        <v>0</v>
      </c>
      <c r="G71" s="1">
        <v>0</v>
      </c>
      <c r="H71" s="1">
        <v>1</v>
      </c>
    </row>
    <row r="72" spans="1:8">
      <c r="A72" s="1" t="s">
        <v>72</v>
      </c>
      <c r="B72" s="2">
        <v>0.1205657348036766</v>
      </c>
      <c r="C72" s="1">
        <v>52</v>
      </c>
      <c r="D72" s="1">
        <v>0</v>
      </c>
      <c r="E72" s="1">
        <v>52</v>
      </c>
      <c r="F72" s="1">
        <v>0</v>
      </c>
      <c r="G72" s="1">
        <v>0</v>
      </c>
      <c r="H72" s="1">
        <v>0</v>
      </c>
    </row>
    <row r="73" spans="1:8">
      <c r="A73" s="1" t="s">
        <v>73</v>
      </c>
      <c r="B73" s="2">
        <v>0.08346858620643616</v>
      </c>
      <c r="C73" s="1">
        <v>36</v>
      </c>
      <c r="D73" s="1">
        <v>0</v>
      </c>
      <c r="E73" s="1">
        <v>36</v>
      </c>
      <c r="F73" s="1">
        <v>0</v>
      </c>
      <c r="G73" s="1">
        <v>0</v>
      </c>
      <c r="H73" s="1">
        <v>0</v>
      </c>
    </row>
    <row r="74" spans="1:8">
      <c r="A74" s="1" t="s">
        <v>74</v>
      </c>
      <c r="B74" s="2">
        <v>0.08346858620643616</v>
      </c>
      <c r="C74" s="1">
        <v>36</v>
      </c>
      <c r="D74" s="1">
        <v>0</v>
      </c>
      <c r="E74" s="1">
        <v>36</v>
      </c>
      <c r="F74" s="1">
        <v>0</v>
      </c>
      <c r="G74" s="1">
        <v>0</v>
      </c>
      <c r="H74" s="1">
        <v>0</v>
      </c>
    </row>
    <row r="75" spans="1:8">
      <c r="A75" s="1" t="s">
        <v>75</v>
      </c>
      <c r="B75" s="2">
        <v>0.08346858620643616</v>
      </c>
      <c r="C75" s="1">
        <v>36</v>
      </c>
      <c r="D75" s="1">
        <v>0</v>
      </c>
      <c r="E75" s="1">
        <v>36</v>
      </c>
      <c r="F75" s="1">
        <v>0</v>
      </c>
      <c r="G75" s="1">
        <v>0</v>
      </c>
      <c r="H75" s="1">
        <v>0</v>
      </c>
    </row>
    <row r="76" spans="1:8">
      <c r="A76" s="1" t="s">
        <v>76</v>
      </c>
      <c r="B76" s="2">
        <v>0.06955715268850327</v>
      </c>
      <c r="C76" s="1">
        <v>30</v>
      </c>
      <c r="D76" s="1">
        <v>0</v>
      </c>
      <c r="E76" s="1">
        <v>30</v>
      </c>
      <c r="F76" s="1">
        <v>0</v>
      </c>
      <c r="G76" s="1">
        <v>0</v>
      </c>
      <c r="H76" s="1">
        <v>0</v>
      </c>
    </row>
    <row r="77" spans="1:8">
      <c r="A77" s="1" t="s">
        <v>77</v>
      </c>
      <c r="B77" s="2">
        <v>0.06492000818252564</v>
      </c>
      <c r="C77" s="1">
        <v>28</v>
      </c>
      <c r="D77" s="1">
        <v>0</v>
      </c>
      <c r="E77" s="1">
        <v>28</v>
      </c>
      <c r="F77" s="1">
        <v>0</v>
      </c>
      <c r="G77" s="1">
        <v>0</v>
      </c>
      <c r="H77" s="1">
        <v>0</v>
      </c>
    </row>
    <row r="78" spans="1:8">
      <c r="A78" s="1" t="s">
        <v>78</v>
      </c>
      <c r="B78" s="2">
        <v>0.0602828674018383</v>
      </c>
      <c r="C78" s="1">
        <v>26</v>
      </c>
      <c r="D78" s="1">
        <v>0</v>
      </c>
      <c r="E78" s="1">
        <v>26</v>
      </c>
      <c r="F78" s="1">
        <v>0</v>
      </c>
      <c r="G78" s="1">
        <v>0</v>
      </c>
      <c r="H78" s="1">
        <v>0</v>
      </c>
    </row>
    <row r="79" spans="1:8">
      <c r="A79" s="1" t="s">
        <v>79</v>
      </c>
      <c r="B79" s="2">
        <v>0.05564572289586067</v>
      </c>
      <c r="C79" s="1">
        <v>24</v>
      </c>
      <c r="D79" s="1">
        <v>0</v>
      </c>
      <c r="E79" s="1">
        <v>24</v>
      </c>
      <c r="F79" s="1">
        <v>0</v>
      </c>
      <c r="G79" s="1">
        <v>0</v>
      </c>
      <c r="H79" s="1">
        <v>0</v>
      </c>
    </row>
    <row r="80" spans="1:8">
      <c r="A80" s="1" t="s">
        <v>80</v>
      </c>
      <c r="B80" s="2">
        <v>0.03709714859724045</v>
      </c>
      <c r="C80" s="1">
        <v>16</v>
      </c>
      <c r="D80" s="1">
        <v>0</v>
      </c>
      <c r="E80" s="1">
        <v>16</v>
      </c>
      <c r="F80" s="1">
        <v>0</v>
      </c>
      <c r="G80" s="1">
        <v>0</v>
      </c>
      <c r="H80" s="1">
        <v>0</v>
      </c>
    </row>
    <row r="81" spans="1:8">
      <c r="A81" s="1" t="s">
        <v>16</v>
      </c>
      <c r="B81" s="2">
        <v>0.03709714859724045</v>
      </c>
      <c r="C81" s="1">
        <v>16</v>
      </c>
      <c r="D81" s="1">
        <v>19</v>
      </c>
      <c r="E81" s="1">
        <v>0</v>
      </c>
      <c r="F81" s="1">
        <v>0</v>
      </c>
      <c r="G81" s="1">
        <v>16</v>
      </c>
      <c r="H81" s="1">
        <v>3</v>
      </c>
    </row>
    <row r="82" spans="1:8">
      <c r="A82" s="1" t="s">
        <v>81</v>
      </c>
      <c r="B82" s="2">
        <v>0.03014143370091915</v>
      </c>
      <c r="C82" s="1">
        <v>13</v>
      </c>
      <c r="D82" s="1">
        <v>0</v>
      </c>
      <c r="E82" s="1">
        <v>12</v>
      </c>
      <c r="F82" s="1">
        <v>1</v>
      </c>
      <c r="G82" s="1">
        <v>0</v>
      </c>
      <c r="H82" s="1">
        <v>0</v>
      </c>
    </row>
    <row r="83" spans="1:8">
      <c r="A83" s="1" t="s">
        <v>27</v>
      </c>
      <c r="B83" s="2">
        <v>0.02782286144793034</v>
      </c>
      <c r="C83" s="1">
        <v>12</v>
      </c>
      <c r="D83" s="1">
        <v>4</v>
      </c>
      <c r="E83" s="1">
        <v>8</v>
      </c>
      <c r="F83" s="1">
        <v>0</v>
      </c>
      <c r="G83" s="1">
        <v>4</v>
      </c>
      <c r="H83" s="1">
        <v>0</v>
      </c>
    </row>
    <row r="84" spans="1:8">
      <c r="A84" s="1" t="s">
        <v>82</v>
      </c>
      <c r="B84" s="2">
        <v>0.01854857429862022</v>
      </c>
      <c r="C84" s="1">
        <v>8</v>
      </c>
      <c r="D84" s="1">
        <v>0</v>
      </c>
      <c r="E84" s="1">
        <v>8</v>
      </c>
      <c r="F84" s="1">
        <v>0</v>
      </c>
      <c r="G84" s="1">
        <v>0</v>
      </c>
      <c r="H84" s="1">
        <v>0</v>
      </c>
    </row>
    <row r="85" spans="1:8">
      <c r="A85" s="1" t="s">
        <v>83</v>
      </c>
      <c r="B85" s="2">
        <v>0.01854857429862022</v>
      </c>
      <c r="C85" s="1">
        <v>8</v>
      </c>
      <c r="D85" s="1">
        <v>0</v>
      </c>
      <c r="E85" s="1">
        <v>8</v>
      </c>
      <c r="F85" s="1">
        <v>0</v>
      </c>
      <c r="G85" s="1">
        <v>0</v>
      </c>
      <c r="H85" s="1">
        <v>0</v>
      </c>
    </row>
    <row r="86" spans="1:8">
      <c r="A86" s="1" t="s">
        <v>84</v>
      </c>
      <c r="B86" s="2">
        <v>0.01159285847097635</v>
      </c>
      <c r="C86" s="1">
        <v>5</v>
      </c>
      <c r="D86" s="1">
        <v>0</v>
      </c>
      <c r="E86" s="1">
        <v>4</v>
      </c>
      <c r="F86" s="1">
        <v>1</v>
      </c>
      <c r="G86" s="1">
        <v>0</v>
      </c>
      <c r="H86" s="1">
        <v>0</v>
      </c>
    </row>
    <row r="87" spans="1:8">
      <c r="A87" s="1" t="s">
        <v>85</v>
      </c>
      <c r="B87" s="2">
        <v>0.009274287149310112</v>
      </c>
      <c r="C87" s="1">
        <v>4</v>
      </c>
      <c r="D87" s="1">
        <v>0</v>
      </c>
      <c r="E87" s="1">
        <v>4</v>
      </c>
      <c r="F87" s="1">
        <v>0</v>
      </c>
      <c r="G87" s="1">
        <v>0</v>
      </c>
      <c r="H87" s="1">
        <v>0</v>
      </c>
    </row>
    <row r="88" spans="1:8">
      <c r="A88" s="1" t="s">
        <v>86</v>
      </c>
      <c r="B88" s="2">
        <v>0.004637143574655056</v>
      </c>
      <c r="C88" s="1">
        <v>2</v>
      </c>
      <c r="D88" s="1">
        <v>0</v>
      </c>
      <c r="E88" s="1">
        <v>2</v>
      </c>
      <c r="F88" s="1">
        <v>0</v>
      </c>
      <c r="G88" s="1">
        <v>0</v>
      </c>
      <c r="H88" s="1">
        <v>0</v>
      </c>
    </row>
    <row r="89" spans="1:8">
      <c r="A89" s="1" t="s">
        <v>87</v>
      </c>
      <c r="B89" s="2">
        <v>0.002318571787327528</v>
      </c>
      <c r="C89" s="1">
        <v>1</v>
      </c>
      <c r="D89" s="1">
        <v>0</v>
      </c>
      <c r="E89" s="1">
        <v>0</v>
      </c>
      <c r="F89" s="1">
        <v>1</v>
      </c>
      <c r="G89" s="1">
        <v>0</v>
      </c>
      <c r="H89" s="1">
        <v>0</v>
      </c>
    </row>
    <row r="90" spans="1:8">
      <c r="A90" s="1" t="s">
        <v>88</v>
      </c>
      <c r="B90" s="2">
        <v>0.002318571787327528</v>
      </c>
      <c r="C90" s="1">
        <v>1</v>
      </c>
      <c r="D90" s="1">
        <v>0</v>
      </c>
      <c r="E90" s="1">
        <v>0</v>
      </c>
      <c r="F90" s="1">
        <v>1</v>
      </c>
      <c r="G90" s="1">
        <v>0</v>
      </c>
      <c r="H90" s="1">
        <v>0</v>
      </c>
    </row>
    <row r="91" spans="1:8">
      <c r="A91" s="1" t="s">
        <v>89</v>
      </c>
      <c r="B91" s="2">
        <v>0.002318571787327528</v>
      </c>
      <c r="C91" s="1">
        <v>1</v>
      </c>
      <c r="D91" s="1">
        <v>0</v>
      </c>
      <c r="E91" s="1">
        <v>0</v>
      </c>
      <c r="F91" s="1">
        <v>1</v>
      </c>
      <c r="G91" s="1">
        <v>0</v>
      </c>
      <c r="H91" s="1">
        <v>0</v>
      </c>
    </row>
    <row r="92" spans="1:8">
      <c r="A92" s="1" t="s">
        <v>90</v>
      </c>
      <c r="B92" s="2">
        <v>0.002318571787327528</v>
      </c>
      <c r="C92" s="1">
        <v>1</v>
      </c>
      <c r="D92" s="1">
        <v>0</v>
      </c>
      <c r="E92" s="1">
        <v>0</v>
      </c>
      <c r="F92" s="1">
        <v>1</v>
      </c>
      <c r="G92" s="1">
        <v>0</v>
      </c>
      <c r="H92" s="1">
        <v>0</v>
      </c>
    </row>
    <row r="93" spans="1:8">
      <c r="A93" s="1" t="s">
        <v>91</v>
      </c>
      <c r="B93" s="2">
        <v>0.002318571787327528</v>
      </c>
      <c r="C93" s="1">
        <v>1</v>
      </c>
      <c r="D93" s="1">
        <v>0</v>
      </c>
      <c r="E93" s="1">
        <v>0</v>
      </c>
      <c r="F93" s="1">
        <v>1</v>
      </c>
      <c r="G93" s="1">
        <v>0</v>
      </c>
      <c r="H93" s="1">
        <v>0</v>
      </c>
    </row>
    <row r="94" spans="1:8">
      <c r="A94" s="1" t="s">
        <v>92</v>
      </c>
      <c r="B94" s="2">
        <v>0.002318571787327528</v>
      </c>
      <c r="C94" s="1">
        <v>1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</row>
    <row r="95" spans="1:8">
      <c r="A95" s="1" t="s">
        <v>93</v>
      </c>
      <c r="B95" s="2">
        <v>0.002318571787327528</v>
      </c>
      <c r="C95" s="1">
        <v>1</v>
      </c>
      <c r="D95" s="1">
        <v>0</v>
      </c>
      <c r="E95" s="1">
        <v>0</v>
      </c>
      <c r="F95" s="1">
        <v>1</v>
      </c>
      <c r="G95" s="1">
        <v>0</v>
      </c>
      <c r="H95" s="1">
        <v>0</v>
      </c>
    </row>
    <row r="96" spans="1:8">
      <c r="A96" t="s">
        <v>95</v>
      </c>
      <c r="B96">
        <f>SUBTOTAL(109,[flash_percent])</f>
        <v>0</v>
      </c>
      <c r="C96">
        <f>SUBTOTAL(109,[flash])</f>
        <v>0</v>
      </c>
      <c r="D96">
        <f>SUBTOTAL(109,[ram])</f>
        <v>0</v>
      </c>
      <c r="E96">
        <f>SUBTOTAL(109,[Code])</f>
        <v>0</v>
      </c>
      <c r="F96">
        <f>SUBTOTAL(109,[RO_data])</f>
        <v>0</v>
      </c>
      <c r="G96">
        <f>SUBTOTAL(109,[RW_data])</f>
        <v>0</v>
      </c>
      <c r="H96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2025-05-28T13:30:21Z</dcterms:created>
  <dcterms:modified xsi:type="dcterms:W3CDTF">2025-05-28T13:30:21Z</dcterms:modified>
</cp:coreProperties>
</file>